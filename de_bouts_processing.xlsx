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ncanlas/Downloads/"/>
    </mc:Choice>
  </mc:AlternateContent>
  <xr:revisionPtr revIDLastSave="0" documentId="13_ncr:1_{18883B91-E2B3-AC4E-8C82-A893FF667FBD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Leg 1" sheetId="2" r:id="rId1"/>
    <sheet name="Leg 2" sheetId="3" r:id="rId2"/>
    <sheet name="Leg 3" sheetId="4" r:id="rId3"/>
    <sheet name="Leg 4" sheetId="5" r:id="rId4"/>
    <sheet name="Leg 5" sheetId="6" r:id="rId5"/>
    <sheet name="all_legs_de_bouts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6" l="1" a="1"/>
  <c r="L32" i="6" s="1"/>
  <c r="E188" i="1" s="1"/>
  <c r="K32" i="6" a="1"/>
  <c r="K32" i="6" s="1"/>
  <c r="D188" i="1" s="1"/>
  <c r="J32" i="6" a="1"/>
  <c r="J32" i="6" s="1"/>
  <c r="C188" i="1" s="1"/>
  <c r="I32" i="6" a="1"/>
  <c r="I32" i="6" s="1"/>
  <c r="B188" i="1" s="1"/>
  <c r="L31" i="6"/>
  <c r="E187" i="1" s="1"/>
  <c r="K31" i="6"/>
  <c r="D187" i="1" s="1"/>
  <c r="J31" i="6"/>
  <c r="C187" i="1" s="1"/>
  <c r="I31" i="6"/>
  <c r="B187" i="1" s="1"/>
  <c r="L30" i="6"/>
  <c r="E186" i="1" s="1"/>
  <c r="K30" i="6"/>
  <c r="D186" i="1" s="1"/>
  <c r="J30" i="6"/>
  <c r="C186" i="1" s="1"/>
  <c r="I30" i="6"/>
  <c r="B186" i="1" s="1"/>
  <c r="L29" i="6"/>
  <c r="E185" i="1" s="1"/>
  <c r="K29" i="6"/>
  <c r="D185" i="1" s="1"/>
  <c r="J29" i="6"/>
  <c r="C185" i="1" s="1"/>
  <c r="I29" i="6"/>
  <c r="B185" i="1" s="1"/>
  <c r="L28" i="6"/>
  <c r="E184" i="1" s="1"/>
  <c r="K28" i="6"/>
  <c r="D184" i="1" s="1"/>
  <c r="J28" i="6"/>
  <c r="C184" i="1" s="1"/>
  <c r="I28" i="6"/>
  <c r="B184" i="1" s="1"/>
  <c r="L27" i="6"/>
  <c r="E183" i="1" s="1"/>
  <c r="K27" i="6"/>
  <c r="D183" i="1" s="1"/>
  <c r="J27" i="6"/>
  <c r="C183" i="1" s="1"/>
  <c r="I27" i="6"/>
  <c r="B183" i="1" s="1"/>
  <c r="L26" i="6"/>
  <c r="E182" i="1" s="1"/>
  <c r="K26" i="6"/>
  <c r="D182" i="1" s="1"/>
  <c r="J26" i="6"/>
  <c r="C182" i="1" s="1"/>
  <c r="I26" i="6"/>
  <c r="B182" i="1" s="1"/>
  <c r="L25" i="6"/>
  <c r="E181" i="1" s="1"/>
  <c r="K25" i="6"/>
  <c r="D181" i="1" s="1"/>
  <c r="J25" i="6"/>
  <c r="C181" i="1" s="1"/>
  <c r="I25" i="6"/>
  <c r="B181" i="1" s="1"/>
  <c r="L24" i="6"/>
  <c r="E180" i="1" s="1"/>
  <c r="K24" i="6"/>
  <c r="D180" i="1" s="1"/>
  <c r="J24" i="6"/>
  <c r="C180" i="1" s="1"/>
  <c r="I24" i="6"/>
  <c r="B180" i="1" s="1"/>
  <c r="L23" i="6"/>
  <c r="E179" i="1" s="1"/>
  <c r="K23" i="6"/>
  <c r="D179" i="1" s="1"/>
  <c r="J23" i="6"/>
  <c r="C179" i="1" s="1"/>
  <c r="I23" i="6"/>
  <c r="B179" i="1" s="1"/>
  <c r="L22" i="6"/>
  <c r="E178" i="1" s="1"/>
  <c r="K22" i="6"/>
  <c r="D178" i="1" s="1"/>
  <c r="J22" i="6"/>
  <c r="C178" i="1" s="1"/>
  <c r="I22" i="6"/>
  <c r="B178" i="1" s="1"/>
  <c r="L21" i="6"/>
  <c r="E177" i="1" s="1"/>
  <c r="K21" i="6"/>
  <c r="D177" i="1" s="1"/>
  <c r="J21" i="6"/>
  <c r="C177" i="1" s="1"/>
  <c r="I21" i="6"/>
  <c r="B177" i="1" s="1"/>
  <c r="L20" i="6"/>
  <c r="E176" i="1" s="1"/>
  <c r="K20" i="6"/>
  <c r="D176" i="1" s="1"/>
  <c r="J20" i="6"/>
  <c r="C176" i="1" s="1"/>
  <c r="I20" i="6"/>
  <c r="B176" i="1" s="1"/>
  <c r="L19" i="6"/>
  <c r="E175" i="1" s="1"/>
  <c r="K19" i="6"/>
  <c r="D175" i="1" s="1"/>
  <c r="J19" i="6"/>
  <c r="C175" i="1" s="1"/>
  <c r="I19" i="6"/>
  <c r="B175" i="1" s="1"/>
  <c r="L18" i="6"/>
  <c r="E174" i="1" s="1"/>
  <c r="K18" i="6"/>
  <c r="D174" i="1" s="1"/>
  <c r="J18" i="6"/>
  <c r="C174" i="1" s="1"/>
  <c r="I18" i="6"/>
  <c r="B174" i="1" s="1"/>
  <c r="L17" i="6"/>
  <c r="E173" i="1" s="1"/>
  <c r="K17" i="6"/>
  <c r="D173" i="1" s="1"/>
  <c r="J17" i="6"/>
  <c r="C173" i="1" s="1"/>
  <c r="I17" i="6"/>
  <c r="B173" i="1" s="1"/>
  <c r="L16" i="6"/>
  <c r="E172" i="1" s="1"/>
  <c r="K16" i="6"/>
  <c r="D172" i="1" s="1"/>
  <c r="J16" i="6"/>
  <c r="C172" i="1" s="1"/>
  <c r="I16" i="6"/>
  <c r="B172" i="1" s="1"/>
  <c r="L15" i="6"/>
  <c r="E171" i="1" s="1"/>
  <c r="K15" i="6"/>
  <c r="D171" i="1" s="1"/>
  <c r="J15" i="6"/>
  <c r="C171" i="1" s="1"/>
  <c r="I15" i="6"/>
  <c r="B171" i="1" s="1"/>
  <c r="L14" i="6"/>
  <c r="E170" i="1" s="1"/>
  <c r="K14" i="6"/>
  <c r="D170" i="1" s="1"/>
  <c r="J14" i="6"/>
  <c r="C170" i="1" s="1"/>
  <c r="I14" i="6"/>
  <c r="B170" i="1" s="1"/>
  <c r="L13" i="6"/>
  <c r="E169" i="1" s="1"/>
  <c r="K13" i="6"/>
  <c r="D169" i="1" s="1"/>
  <c r="J13" i="6"/>
  <c r="C169" i="1" s="1"/>
  <c r="I13" i="6"/>
  <c r="B169" i="1" s="1"/>
  <c r="L12" i="6"/>
  <c r="E168" i="1" s="1"/>
  <c r="K12" i="6"/>
  <c r="D168" i="1" s="1"/>
  <c r="J12" i="6"/>
  <c r="C168" i="1" s="1"/>
  <c r="I12" i="6"/>
  <c r="B168" i="1" s="1"/>
  <c r="L11" i="6"/>
  <c r="E167" i="1" s="1"/>
  <c r="K11" i="6"/>
  <c r="D167" i="1" s="1"/>
  <c r="J11" i="6"/>
  <c r="C167" i="1" s="1"/>
  <c r="I11" i="6"/>
  <c r="B167" i="1" s="1"/>
  <c r="L10" i="6"/>
  <c r="E166" i="1" s="1"/>
  <c r="K10" i="6"/>
  <c r="D166" i="1" s="1"/>
  <c r="J10" i="6"/>
  <c r="C166" i="1" s="1"/>
  <c r="I10" i="6"/>
  <c r="B166" i="1" s="1"/>
  <c r="L9" i="6"/>
  <c r="E165" i="1" s="1"/>
  <c r="K9" i="6"/>
  <c r="D165" i="1" s="1"/>
  <c r="J9" i="6"/>
  <c r="C165" i="1" s="1"/>
  <c r="I9" i="6"/>
  <c r="B165" i="1" s="1"/>
  <c r="L8" i="6"/>
  <c r="E164" i="1" s="1"/>
  <c r="K8" i="6"/>
  <c r="D164" i="1" s="1"/>
  <c r="J8" i="6"/>
  <c r="C164" i="1" s="1"/>
  <c r="I8" i="6"/>
  <c r="B164" i="1" s="1"/>
  <c r="L7" i="6"/>
  <c r="E163" i="1" s="1"/>
  <c r="K7" i="6"/>
  <c r="D163" i="1" s="1"/>
  <c r="J7" i="6"/>
  <c r="C163" i="1" s="1"/>
  <c r="I7" i="6"/>
  <c r="B163" i="1" s="1"/>
  <c r="L6" i="6"/>
  <c r="E162" i="1" s="1"/>
  <c r="K6" i="6"/>
  <c r="D162" i="1" s="1"/>
  <c r="J6" i="6"/>
  <c r="C162" i="1" s="1"/>
  <c r="I6" i="6"/>
  <c r="B162" i="1" s="1"/>
  <c r="L5" i="6"/>
  <c r="E161" i="1" s="1"/>
  <c r="K5" i="6"/>
  <c r="D161" i="1" s="1"/>
  <c r="J5" i="6"/>
  <c r="C161" i="1" s="1"/>
  <c r="I5" i="6"/>
  <c r="B161" i="1" s="1"/>
  <c r="L4" i="6"/>
  <c r="E160" i="1" s="1"/>
  <c r="K4" i="6"/>
  <c r="D160" i="1" s="1"/>
  <c r="J4" i="6"/>
  <c r="C160" i="1" s="1"/>
  <c r="I4" i="6"/>
  <c r="B160" i="1" s="1"/>
  <c r="L3" i="6"/>
  <c r="E159" i="1" s="1"/>
  <c r="K3" i="6"/>
  <c r="D159" i="1" s="1"/>
  <c r="J3" i="6"/>
  <c r="C159" i="1" s="1"/>
  <c r="I3" i="6"/>
  <c r="B159" i="1" s="1"/>
  <c r="L2" i="6"/>
  <c r="E158" i="1" s="1"/>
  <c r="K2" i="6"/>
  <c r="D158" i="1" s="1"/>
  <c r="J2" i="6"/>
  <c r="C158" i="1" s="1"/>
  <c r="I2" i="6"/>
  <c r="B158" i="1" s="1"/>
  <c r="L32" i="5" a="1"/>
  <c r="L32" i="5" s="1"/>
  <c r="E157" i="1" s="1"/>
  <c r="K32" i="5" a="1"/>
  <c r="K32" i="5" s="1"/>
  <c r="D157" i="1" s="1"/>
  <c r="J32" i="5" a="1"/>
  <c r="J32" i="5" s="1"/>
  <c r="C157" i="1" s="1"/>
  <c r="I32" i="5" a="1"/>
  <c r="I32" i="5" s="1"/>
  <c r="B157" i="1" s="1"/>
  <c r="L31" i="5"/>
  <c r="E156" i="1" s="1"/>
  <c r="K31" i="5"/>
  <c r="D156" i="1" s="1"/>
  <c r="J31" i="5"/>
  <c r="C156" i="1" s="1"/>
  <c r="I31" i="5"/>
  <c r="B156" i="1" s="1"/>
  <c r="L30" i="5"/>
  <c r="E155" i="1" s="1"/>
  <c r="K30" i="5"/>
  <c r="D155" i="1" s="1"/>
  <c r="J30" i="5"/>
  <c r="C155" i="1" s="1"/>
  <c r="I30" i="5"/>
  <c r="B155" i="1" s="1"/>
  <c r="L29" i="5"/>
  <c r="E154" i="1" s="1"/>
  <c r="K29" i="5"/>
  <c r="D154" i="1" s="1"/>
  <c r="J29" i="5"/>
  <c r="C154" i="1" s="1"/>
  <c r="I29" i="5"/>
  <c r="B154" i="1" s="1"/>
  <c r="L28" i="5"/>
  <c r="E153" i="1" s="1"/>
  <c r="K28" i="5"/>
  <c r="D153" i="1" s="1"/>
  <c r="J28" i="5"/>
  <c r="C153" i="1" s="1"/>
  <c r="I28" i="5"/>
  <c r="B153" i="1" s="1"/>
  <c r="L27" i="5"/>
  <c r="E152" i="1" s="1"/>
  <c r="K27" i="5"/>
  <c r="D152" i="1" s="1"/>
  <c r="J27" i="5"/>
  <c r="C152" i="1" s="1"/>
  <c r="I27" i="5"/>
  <c r="B152" i="1" s="1"/>
  <c r="L26" i="5"/>
  <c r="E151" i="1" s="1"/>
  <c r="K26" i="5"/>
  <c r="D151" i="1" s="1"/>
  <c r="J26" i="5"/>
  <c r="C151" i="1" s="1"/>
  <c r="I26" i="5"/>
  <c r="B151" i="1" s="1"/>
  <c r="L25" i="5"/>
  <c r="E150" i="1" s="1"/>
  <c r="K25" i="5"/>
  <c r="D150" i="1" s="1"/>
  <c r="J25" i="5"/>
  <c r="C150" i="1" s="1"/>
  <c r="I25" i="5"/>
  <c r="B150" i="1" s="1"/>
  <c r="L24" i="5"/>
  <c r="E149" i="1" s="1"/>
  <c r="K24" i="5"/>
  <c r="D149" i="1" s="1"/>
  <c r="J24" i="5"/>
  <c r="C149" i="1" s="1"/>
  <c r="I24" i="5"/>
  <c r="B149" i="1" s="1"/>
  <c r="L23" i="5"/>
  <c r="E148" i="1" s="1"/>
  <c r="K23" i="5"/>
  <c r="D148" i="1" s="1"/>
  <c r="J23" i="5"/>
  <c r="C148" i="1" s="1"/>
  <c r="I23" i="5"/>
  <c r="B148" i="1" s="1"/>
  <c r="L22" i="5"/>
  <c r="E147" i="1" s="1"/>
  <c r="K22" i="5"/>
  <c r="D147" i="1" s="1"/>
  <c r="J22" i="5"/>
  <c r="C147" i="1" s="1"/>
  <c r="I22" i="5"/>
  <c r="B147" i="1" s="1"/>
  <c r="L21" i="5"/>
  <c r="E146" i="1" s="1"/>
  <c r="K21" i="5"/>
  <c r="D146" i="1" s="1"/>
  <c r="J21" i="5"/>
  <c r="C146" i="1" s="1"/>
  <c r="I21" i="5"/>
  <c r="B146" i="1" s="1"/>
  <c r="L20" i="5"/>
  <c r="E145" i="1" s="1"/>
  <c r="K20" i="5"/>
  <c r="D145" i="1" s="1"/>
  <c r="J20" i="5"/>
  <c r="C145" i="1" s="1"/>
  <c r="I20" i="5"/>
  <c r="B145" i="1" s="1"/>
  <c r="L19" i="5"/>
  <c r="E144" i="1" s="1"/>
  <c r="K19" i="5"/>
  <c r="D144" i="1" s="1"/>
  <c r="J19" i="5"/>
  <c r="C144" i="1" s="1"/>
  <c r="I19" i="5"/>
  <c r="B144" i="1" s="1"/>
  <c r="L18" i="5"/>
  <c r="E143" i="1" s="1"/>
  <c r="K18" i="5"/>
  <c r="D143" i="1" s="1"/>
  <c r="J18" i="5"/>
  <c r="C143" i="1" s="1"/>
  <c r="I18" i="5"/>
  <c r="B143" i="1" s="1"/>
  <c r="L17" i="5"/>
  <c r="E142" i="1" s="1"/>
  <c r="K17" i="5"/>
  <c r="D142" i="1" s="1"/>
  <c r="J17" i="5"/>
  <c r="C142" i="1" s="1"/>
  <c r="I17" i="5"/>
  <c r="B142" i="1" s="1"/>
  <c r="L16" i="5"/>
  <c r="E141" i="1" s="1"/>
  <c r="K16" i="5"/>
  <c r="D141" i="1" s="1"/>
  <c r="J16" i="5"/>
  <c r="C141" i="1" s="1"/>
  <c r="I16" i="5"/>
  <c r="B141" i="1" s="1"/>
  <c r="L15" i="5"/>
  <c r="E140" i="1" s="1"/>
  <c r="K15" i="5"/>
  <c r="D140" i="1" s="1"/>
  <c r="J15" i="5"/>
  <c r="C140" i="1" s="1"/>
  <c r="I15" i="5"/>
  <c r="B140" i="1" s="1"/>
  <c r="L14" i="5"/>
  <c r="E139" i="1" s="1"/>
  <c r="K14" i="5"/>
  <c r="D139" i="1" s="1"/>
  <c r="J14" i="5"/>
  <c r="C139" i="1" s="1"/>
  <c r="I14" i="5"/>
  <c r="B139" i="1" s="1"/>
  <c r="L13" i="5"/>
  <c r="E138" i="1" s="1"/>
  <c r="K13" i="5"/>
  <c r="D138" i="1" s="1"/>
  <c r="J13" i="5"/>
  <c r="C138" i="1" s="1"/>
  <c r="I13" i="5"/>
  <c r="B138" i="1" s="1"/>
  <c r="L12" i="5"/>
  <c r="E137" i="1" s="1"/>
  <c r="K12" i="5"/>
  <c r="D137" i="1" s="1"/>
  <c r="J12" i="5"/>
  <c r="C137" i="1" s="1"/>
  <c r="I12" i="5"/>
  <c r="B137" i="1" s="1"/>
  <c r="L11" i="5"/>
  <c r="E136" i="1" s="1"/>
  <c r="K11" i="5"/>
  <c r="D136" i="1" s="1"/>
  <c r="J11" i="5"/>
  <c r="C136" i="1" s="1"/>
  <c r="I11" i="5"/>
  <c r="B136" i="1" s="1"/>
  <c r="L10" i="5"/>
  <c r="E135" i="1" s="1"/>
  <c r="K10" i="5"/>
  <c r="D135" i="1" s="1"/>
  <c r="J10" i="5"/>
  <c r="C135" i="1" s="1"/>
  <c r="I10" i="5"/>
  <c r="B135" i="1" s="1"/>
  <c r="L9" i="5"/>
  <c r="E134" i="1" s="1"/>
  <c r="K9" i="5"/>
  <c r="D134" i="1" s="1"/>
  <c r="J9" i="5"/>
  <c r="C134" i="1" s="1"/>
  <c r="I9" i="5"/>
  <c r="B134" i="1" s="1"/>
  <c r="L8" i="5"/>
  <c r="E133" i="1" s="1"/>
  <c r="K8" i="5"/>
  <c r="D133" i="1" s="1"/>
  <c r="J8" i="5"/>
  <c r="C133" i="1" s="1"/>
  <c r="I8" i="5"/>
  <c r="B133" i="1" s="1"/>
  <c r="L7" i="5"/>
  <c r="E132" i="1" s="1"/>
  <c r="K7" i="5"/>
  <c r="D132" i="1" s="1"/>
  <c r="J7" i="5"/>
  <c r="C132" i="1" s="1"/>
  <c r="I7" i="5"/>
  <c r="B132" i="1" s="1"/>
  <c r="L6" i="5"/>
  <c r="E131" i="1" s="1"/>
  <c r="K6" i="5"/>
  <c r="D131" i="1" s="1"/>
  <c r="J6" i="5"/>
  <c r="C131" i="1" s="1"/>
  <c r="I6" i="5"/>
  <c r="B131" i="1" s="1"/>
  <c r="L5" i="5"/>
  <c r="E130" i="1" s="1"/>
  <c r="K5" i="5"/>
  <c r="D130" i="1" s="1"/>
  <c r="J5" i="5"/>
  <c r="C130" i="1" s="1"/>
  <c r="I5" i="5"/>
  <c r="B130" i="1" s="1"/>
  <c r="L4" i="5"/>
  <c r="E129" i="1" s="1"/>
  <c r="K4" i="5"/>
  <c r="D129" i="1" s="1"/>
  <c r="J4" i="5"/>
  <c r="C129" i="1" s="1"/>
  <c r="I4" i="5"/>
  <c r="B129" i="1" s="1"/>
  <c r="L3" i="5"/>
  <c r="E128" i="1" s="1"/>
  <c r="K3" i="5"/>
  <c r="D128" i="1" s="1"/>
  <c r="J3" i="5"/>
  <c r="C128" i="1" s="1"/>
  <c r="I3" i="5"/>
  <c r="B128" i="1" s="1"/>
  <c r="L2" i="5"/>
  <c r="E127" i="1" s="1"/>
  <c r="K2" i="5"/>
  <c r="D127" i="1" s="1"/>
  <c r="J2" i="5"/>
  <c r="C127" i="1" s="1"/>
  <c r="I2" i="5"/>
  <c r="B127" i="1" s="1"/>
  <c r="L32" i="4" a="1"/>
  <c r="L32" i="4" s="1"/>
  <c r="E126" i="1" s="1"/>
  <c r="K32" i="4" a="1"/>
  <c r="K32" i="4" s="1"/>
  <c r="D126" i="1" s="1"/>
  <c r="J32" i="4" a="1"/>
  <c r="J32" i="4" s="1"/>
  <c r="C126" i="1" s="1"/>
  <c r="I32" i="4" a="1"/>
  <c r="I32" i="4" s="1"/>
  <c r="B126" i="1" s="1"/>
  <c r="L31" i="4"/>
  <c r="E125" i="1" s="1"/>
  <c r="K31" i="4"/>
  <c r="D125" i="1" s="1"/>
  <c r="J31" i="4"/>
  <c r="C125" i="1" s="1"/>
  <c r="I31" i="4"/>
  <c r="B125" i="1" s="1"/>
  <c r="L30" i="4"/>
  <c r="E124" i="1" s="1"/>
  <c r="K30" i="4"/>
  <c r="D124" i="1" s="1"/>
  <c r="J30" i="4"/>
  <c r="C124" i="1" s="1"/>
  <c r="I30" i="4"/>
  <c r="B124" i="1" s="1"/>
  <c r="L29" i="4"/>
  <c r="E123" i="1" s="1"/>
  <c r="K29" i="4"/>
  <c r="D123" i="1" s="1"/>
  <c r="J29" i="4"/>
  <c r="C123" i="1" s="1"/>
  <c r="I29" i="4"/>
  <c r="B123" i="1" s="1"/>
  <c r="L28" i="4"/>
  <c r="E122" i="1" s="1"/>
  <c r="K28" i="4"/>
  <c r="D122" i="1" s="1"/>
  <c r="J28" i="4"/>
  <c r="C122" i="1" s="1"/>
  <c r="I28" i="4"/>
  <c r="B122" i="1" s="1"/>
  <c r="L27" i="4"/>
  <c r="E121" i="1" s="1"/>
  <c r="K27" i="4"/>
  <c r="D121" i="1" s="1"/>
  <c r="J27" i="4"/>
  <c r="C121" i="1" s="1"/>
  <c r="I27" i="4"/>
  <c r="B121" i="1" s="1"/>
  <c r="L26" i="4"/>
  <c r="E120" i="1" s="1"/>
  <c r="K26" i="4"/>
  <c r="D120" i="1" s="1"/>
  <c r="J26" i="4"/>
  <c r="C120" i="1" s="1"/>
  <c r="I26" i="4"/>
  <c r="B120" i="1" s="1"/>
  <c r="L25" i="4"/>
  <c r="E119" i="1" s="1"/>
  <c r="K25" i="4"/>
  <c r="D119" i="1" s="1"/>
  <c r="J25" i="4"/>
  <c r="C119" i="1" s="1"/>
  <c r="I25" i="4"/>
  <c r="B119" i="1" s="1"/>
  <c r="L24" i="4"/>
  <c r="E118" i="1" s="1"/>
  <c r="K24" i="4"/>
  <c r="D118" i="1" s="1"/>
  <c r="J24" i="4"/>
  <c r="C118" i="1" s="1"/>
  <c r="I24" i="4"/>
  <c r="B118" i="1" s="1"/>
  <c r="L23" i="4"/>
  <c r="E117" i="1" s="1"/>
  <c r="K23" i="4"/>
  <c r="D117" i="1" s="1"/>
  <c r="J23" i="4"/>
  <c r="C117" i="1" s="1"/>
  <c r="I23" i="4"/>
  <c r="B117" i="1" s="1"/>
  <c r="L22" i="4"/>
  <c r="E116" i="1" s="1"/>
  <c r="K22" i="4"/>
  <c r="D116" i="1" s="1"/>
  <c r="J22" i="4"/>
  <c r="C116" i="1" s="1"/>
  <c r="I22" i="4"/>
  <c r="B116" i="1" s="1"/>
  <c r="L21" i="4"/>
  <c r="E115" i="1" s="1"/>
  <c r="K21" i="4"/>
  <c r="D115" i="1" s="1"/>
  <c r="J21" i="4"/>
  <c r="C115" i="1" s="1"/>
  <c r="I21" i="4"/>
  <c r="B115" i="1" s="1"/>
  <c r="L20" i="4"/>
  <c r="E114" i="1" s="1"/>
  <c r="K20" i="4"/>
  <c r="D114" i="1" s="1"/>
  <c r="J20" i="4"/>
  <c r="C114" i="1" s="1"/>
  <c r="I20" i="4"/>
  <c r="B114" i="1" s="1"/>
  <c r="L19" i="4"/>
  <c r="E113" i="1" s="1"/>
  <c r="K19" i="4"/>
  <c r="D113" i="1" s="1"/>
  <c r="J19" i="4"/>
  <c r="C113" i="1" s="1"/>
  <c r="I19" i="4"/>
  <c r="B113" i="1" s="1"/>
  <c r="L18" i="4"/>
  <c r="E112" i="1" s="1"/>
  <c r="K18" i="4"/>
  <c r="D112" i="1" s="1"/>
  <c r="J18" i="4"/>
  <c r="C112" i="1" s="1"/>
  <c r="I18" i="4"/>
  <c r="B112" i="1" s="1"/>
  <c r="L17" i="4"/>
  <c r="E111" i="1" s="1"/>
  <c r="K17" i="4"/>
  <c r="D111" i="1" s="1"/>
  <c r="J17" i="4"/>
  <c r="C111" i="1" s="1"/>
  <c r="I17" i="4"/>
  <c r="B111" i="1" s="1"/>
  <c r="L16" i="4"/>
  <c r="E110" i="1" s="1"/>
  <c r="K16" i="4"/>
  <c r="D110" i="1" s="1"/>
  <c r="J16" i="4"/>
  <c r="C110" i="1" s="1"/>
  <c r="I16" i="4"/>
  <c r="B110" i="1" s="1"/>
  <c r="L15" i="4"/>
  <c r="E109" i="1" s="1"/>
  <c r="K15" i="4"/>
  <c r="D109" i="1" s="1"/>
  <c r="J15" i="4"/>
  <c r="C109" i="1" s="1"/>
  <c r="I15" i="4"/>
  <c r="B109" i="1" s="1"/>
  <c r="L14" i="4"/>
  <c r="E108" i="1" s="1"/>
  <c r="K14" i="4"/>
  <c r="D108" i="1" s="1"/>
  <c r="J14" i="4"/>
  <c r="C108" i="1" s="1"/>
  <c r="I14" i="4"/>
  <c r="B108" i="1" s="1"/>
  <c r="L13" i="4"/>
  <c r="E107" i="1" s="1"/>
  <c r="K13" i="4"/>
  <c r="D107" i="1" s="1"/>
  <c r="J13" i="4"/>
  <c r="C107" i="1" s="1"/>
  <c r="I13" i="4"/>
  <c r="B107" i="1" s="1"/>
  <c r="L12" i="4"/>
  <c r="E106" i="1" s="1"/>
  <c r="K12" i="4"/>
  <c r="D106" i="1" s="1"/>
  <c r="J12" i="4"/>
  <c r="C106" i="1" s="1"/>
  <c r="I12" i="4"/>
  <c r="B106" i="1" s="1"/>
  <c r="L11" i="4"/>
  <c r="E105" i="1" s="1"/>
  <c r="K11" i="4"/>
  <c r="D105" i="1" s="1"/>
  <c r="J11" i="4"/>
  <c r="C105" i="1" s="1"/>
  <c r="I11" i="4"/>
  <c r="B105" i="1" s="1"/>
  <c r="L10" i="4"/>
  <c r="E104" i="1" s="1"/>
  <c r="K10" i="4"/>
  <c r="D104" i="1" s="1"/>
  <c r="J10" i="4"/>
  <c r="C104" i="1" s="1"/>
  <c r="I10" i="4"/>
  <c r="B104" i="1" s="1"/>
  <c r="L9" i="4"/>
  <c r="E103" i="1" s="1"/>
  <c r="K9" i="4"/>
  <c r="D103" i="1" s="1"/>
  <c r="J9" i="4"/>
  <c r="C103" i="1" s="1"/>
  <c r="I9" i="4"/>
  <c r="B103" i="1" s="1"/>
  <c r="L8" i="4"/>
  <c r="E102" i="1" s="1"/>
  <c r="K8" i="4"/>
  <c r="D102" i="1" s="1"/>
  <c r="J8" i="4"/>
  <c r="C102" i="1" s="1"/>
  <c r="I8" i="4"/>
  <c r="B102" i="1" s="1"/>
  <c r="L7" i="4"/>
  <c r="E101" i="1" s="1"/>
  <c r="K7" i="4"/>
  <c r="D101" i="1" s="1"/>
  <c r="J7" i="4"/>
  <c r="C101" i="1" s="1"/>
  <c r="I7" i="4"/>
  <c r="B101" i="1" s="1"/>
  <c r="L6" i="4"/>
  <c r="E100" i="1" s="1"/>
  <c r="K6" i="4"/>
  <c r="D100" i="1" s="1"/>
  <c r="J6" i="4"/>
  <c r="C100" i="1" s="1"/>
  <c r="I6" i="4"/>
  <c r="B100" i="1" s="1"/>
  <c r="L5" i="4"/>
  <c r="E99" i="1" s="1"/>
  <c r="K5" i="4"/>
  <c r="D99" i="1" s="1"/>
  <c r="J5" i="4"/>
  <c r="C99" i="1" s="1"/>
  <c r="I5" i="4"/>
  <c r="B99" i="1" s="1"/>
  <c r="L4" i="4"/>
  <c r="E98" i="1" s="1"/>
  <c r="K4" i="4"/>
  <c r="D98" i="1" s="1"/>
  <c r="J4" i="4"/>
  <c r="C98" i="1" s="1"/>
  <c r="I4" i="4"/>
  <c r="B98" i="1" s="1"/>
  <c r="L3" i="4"/>
  <c r="E97" i="1" s="1"/>
  <c r="K3" i="4"/>
  <c r="D97" i="1" s="1"/>
  <c r="J3" i="4"/>
  <c r="C97" i="1" s="1"/>
  <c r="I3" i="4"/>
  <c r="B97" i="1" s="1"/>
  <c r="L2" i="4"/>
  <c r="E96" i="1" s="1"/>
  <c r="K2" i="4"/>
  <c r="D96" i="1" s="1"/>
  <c r="J2" i="4"/>
  <c r="C96" i="1" s="1"/>
  <c r="I2" i="4"/>
  <c r="B96" i="1" s="1"/>
  <c r="L64" i="3" a="1"/>
  <c r="L64" i="3" s="1"/>
  <c r="E95" i="1" s="1"/>
  <c r="K64" i="3" a="1"/>
  <c r="K64" i="3" s="1"/>
  <c r="D95" i="1" s="1"/>
  <c r="J64" i="3" a="1"/>
  <c r="J64" i="3" s="1"/>
  <c r="C95" i="1" s="1"/>
  <c r="I64" i="3" a="1"/>
  <c r="I64" i="3" s="1"/>
  <c r="B95" i="1" s="1"/>
  <c r="L63" i="3"/>
  <c r="E94" i="1" s="1"/>
  <c r="K63" i="3"/>
  <c r="D94" i="1" s="1"/>
  <c r="J63" i="3"/>
  <c r="C94" i="1" s="1"/>
  <c r="I63" i="3"/>
  <c r="B94" i="1" s="1"/>
  <c r="L62" i="3"/>
  <c r="E93" i="1" s="1"/>
  <c r="K62" i="3"/>
  <c r="D93" i="1" s="1"/>
  <c r="J62" i="3"/>
  <c r="C93" i="1" s="1"/>
  <c r="I62" i="3"/>
  <c r="B93" i="1" s="1"/>
  <c r="L61" i="3"/>
  <c r="E92" i="1" s="1"/>
  <c r="K61" i="3"/>
  <c r="D92" i="1" s="1"/>
  <c r="J61" i="3"/>
  <c r="C92" i="1" s="1"/>
  <c r="I61" i="3"/>
  <c r="B92" i="1" s="1"/>
  <c r="L60" i="3"/>
  <c r="E91" i="1" s="1"/>
  <c r="K60" i="3"/>
  <c r="D91" i="1" s="1"/>
  <c r="J60" i="3"/>
  <c r="C91" i="1" s="1"/>
  <c r="I60" i="3"/>
  <c r="B91" i="1" s="1"/>
  <c r="L59" i="3"/>
  <c r="E90" i="1" s="1"/>
  <c r="K59" i="3"/>
  <c r="D90" i="1" s="1"/>
  <c r="J59" i="3"/>
  <c r="C90" i="1" s="1"/>
  <c r="I59" i="3"/>
  <c r="B90" i="1" s="1"/>
  <c r="L58" i="3"/>
  <c r="E89" i="1" s="1"/>
  <c r="K58" i="3"/>
  <c r="D89" i="1" s="1"/>
  <c r="J58" i="3"/>
  <c r="C89" i="1" s="1"/>
  <c r="I58" i="3"/>
  <c r="B89" i="1" s="1"/>
  <c r="L57" i="3"/>
  <c r="E88" i="1" s="1"/>
  <c r="K57" i="3"/>
  <c r="D88" i="1" s="1"/>
  <c r="J57" i="3"/>
  <c r="C88" i="1" s="1"/>
  <c r="I57" i="3"/>
  <c r="B88" i="1" s="1"/>
  <c r="L56" i="3"/>
  <c r="E87" i="1" s="1"/>
  <c r="K56" i="3"/>
  <c r="D87" i="1" s="1"/>
  <c r="J56" i="3"/>
  <c r="C87" i="1" s="1"/>
  <c r="I56" i="3"/>
  <c r="B87" i="1" s="1"/>
  <c r="L55" i="3"/>
  <c r="E86" i="1" s="1"/>
  <c r="K55" i="3"/>
  <c r="D86" i="1" s="1"/>
  <c r="J55" i="3"/>
  <c r="C86" i="1" s="1"/>
  <c r="I55" i="3"/>
  <c r="B86" i="1" s="1"/>
  <c r="L54" i="3"/>
  <c r="E85" i="1" s="1"/>
  <c r="K54" i="3"/>
  <c r="D85" i="1" s="1"/>
  <c r="J54" i="3"/>
  <c r="C85" i="1" s="1"/>
  <c r="I54" i="3"/>
  <c r="B85" i="1" s="1"/>
  <c r="L53" i="3"/>
  <c r="E84" i="1" s="1"/>
  <c r="K53" i="3"/>
  <c r="D84" i="1" s="1"/>
  <c r="J53" i="3"/>
  <c r="C84" i="1" s="1"/>
  <c r="I53" i="3"/>
  <c r="B84" i="1" s="1"/>
  <c r="L52" i="3"/>
  <c r="E83" i="1" s="1"/>
  <c r="K52" i="3"/>
  <c r="D83" i="1" s="1"/>
  <c r="J52" i="3"/>
  <c r="C83" i="1" s="1"/>
  <c r="I52" i="3"/>
  <c r="B83" i="1" s="1"/>
  <c r="L51" i="3"/>
  <c r="E82" i="1" s="1"/>
  <c r="K51" i="3"/>
  <c r="D82" i="1" s="1"/>
  <c r="J51" i="3"/>
  <c r="C82" i="1" s="1"/>
  <c r="I51" i="3"/>
  <c r="B82" i="1" s="1"/>
  <c r="L50" i="3"/>
  <c r="E81" i="1" s="1"/>
  <c r="K50" i="3"/>
  <c r="D81" i="1" s="1"/>
  <c r="J50" i="3"/>
  <c r="C81" i="1" s="1"/>
  <c r="I50" i="3"/>
  <c r="B81" i="1" s="1"/>
  <c r="L49" i="3"/>
  <c r="E80" i="1" s="1"/>
  <c r="K49" i="3"/>
  <c r="D80" i="1" s="1"/>
  <c r="J49" i="3"/>
  <c r="C80" i="1" s="1"/>
  <c r="I49" i="3"/>
  <c r="B80" i="1" s="1"/>
  <c r="L48" i="3"/>
  <c r="E79" i="1" s="1"/>
  <c r="K48" i="3"/>
  <c r="D79" i="1" s="1"/>
  <c r="J48" i="3"/>
  <c r="C79" i="1" s="1"/>
  <c r="I48" i="3"/>
  <c r="B79" i="1" s="1"/>
  <c r="L47" i="3"/>
  <c r="E78" i="1" s="1"/>
  <c r="K47" i="3"/>
  <c r="D78" i="1" s="1"/>
  <c r="J47" i="3"/>
  <c r="C78" i="1" s="1"/>
  <c r="I47" i="3"/>
  <c r="B78" i="1" s="1"/>
  <c r="L46" i="3"/>
  <c r="E77" i="1" s="1"/>
  <c r="K46" i="3"/>
  <c r="D77" i="1" s="1"/>
  <c r="J46" i="3"/>
  <c r="C77" i="1" s="1"/>
  <c r="I46" i="3"/>
  <c r="B77" i="1" s="1"/>
  <c r="L45" i="3"/>
  <c r="E76" i="1" s="1"/>
  <c r="K45" i="3"/>
  <c r="D76" i="1" s="1"/>
  <c r="J45" i="3"/>
  <c r="C76" i="1" s="1"/>
  <c r="I45" i="3"/>
  <c r="B76" i="1" s="1"/>
  <c r="L44" i="3"/>
  <c r="E75" i="1" s="1"/>
  <c r="K44" i="3"/>
  <c r="D75" i="1" s="1"/>
  <c r="J44" i="3"/>
  <c r="C75" i="1" s="1"/>
  <c r="I44" i="3"/>
  <c r="B75" i="1" s="1"/>
  <c r="L43" i="3"/>
  <c r="E74" i="1" s="1"/>
  <c r="K43" i="3"/>
  <c r="D74" i="1" s="1"/>
  <c r="J43" i="3"/>
  <c r="C74" i="1" s="1"/>
  <c r="I43" i="3"/>
  <c r="B74" i="1" s="1"/>
  <c r="L42" i="3"/>
  <c r="E73" i="1" s="1"/>
  <c r="K42" i="3"/>
  <c r="D73" i="1" s="1"/>
  <c r="J42" i="3"/>
  <c r="C73" i="1" s="1"/>
  <c r="I42" i="3"/>
  <c r="B73" i="1" s="1"/>
  <c r="L41" i="3"/>
  <c r="E72" i="1" s="1"/>
  <c r="K41" i="3"/>
  <c r="D72" i="1" s="1"/>
  <c r="J41" i="3"/>
  <c r="C72" i="1" s="1"/>
  <c r="I41" i="3"/>
  <c r="B72" i="1" s="1"/>
  <c r="L40" i="3"/>
  <c r="E71" i="1" s="1"/>
  <c r="K40" i="3"/>
  <c r="D71" i="1" s="1"/>
  <c r="J40" i="3"/>
  <c r="C71" i="1" s="1"/>
  <c r="I40" i="3"/>
  <c r="B71" i="1" s="1"/>
  <c r="L39" i="3"/>
  <c r="E70" i="1" s="1"/>
  <c r="K39" i="3"/>
  <c r="D70" i="1" s="1"/>
  <c r="J39" i="3"/>
  <c r="C70" i="1" s="1"/>
  <c r="I39" i="3"/>
  <c r="B70" i="1" s="1"/>
  <c r="L38" i="3"/>
  <c r="E69" i="1" s="1"/>
  <c r="K38" i="3"/>
  <c r="D69" i="1" s="1"/>
  <c r="J38" i="3"/>
  <c r="C69" i="1" s="1"/>
  <c r="I38" i="3"/>
  <c r="B69" i="1" s="1"/>
  <c r="L37" i="3"/>
  <c r="E68" i="1" s="1"/>
  <c r="K37" i="3"/>
  <c r="D68" i="1" s="1"/>
  <c r="J37" i="3"/>
  <c r="C68" i="1" s="1"/>
  <c r="I37" i="3"/>
  <c r="B68" i="1" s="1"/>
  <c r="L36" i="3"/>
  <c r="E67" i="1" s="1"/>
  <c r="K36" i="3"/>
  <c r="D67" i="1" s="1"/>
  <c r="J36" i="3"/>
  <c r="C67" i="1" s="1"/>
  <c r="I36" i="3"/>
  <c r="B67" i="1" s="1"/>
  <c r="L35" i="3"/>
  <c r="E66" i="1" s="1"/>
  <c r="K35" i="3"/>
  <c r="D66" i="1" s="1"/>
  <c r="J35" i="3"/>
  <c r="C66" i="1" s="1"/>
  <c r="I35" i="3"/>
  <c r="B66" i="1" s="1"/>
  <c r="L34" i="3"/>
  <c r="E65" i="1" s="1"/>
  <c r="K34" i="3"/>
  <c r="D65" i="1" s="1"/>
  <c r="J34" i="3"/>
  <c r="C65" i="1" s="1"/>
  <c r="I34" i="3"/>
  <c r="B65" i="1" s="1"/>
  <c r="L33" i="3"/>
  <c r="E64" i="1" s="1"/>
  <c r="K33" i="3"/>
  <c r="D64" i="1" s="1"/>
  <c r="J33" i="3"/>
  <c r="C64" i="1" s="1"/>
  <c r="I33" i="3"/>
  <c r="B64" i="1" s="1"/>
  <c r="L32" i="3"/>
  <c r="E63" i="1" s="1"/>
  <c r="K32" i="3"/>
  <c r="D63" i="1" s="1"/>
  <c r="J32" i="3"/>
  <c r="C63" i="1" s="1"/>
  <c r="I32" i="3"/>
  <c r="B63" i="1" s="1"/>
  <c r="L31" i="3"/>
  <c r="E62" i="1" s="1"/>
  <c r="K31" i="3"/>
  <c r="D62" i="1" s="1"/>
  <c r="J31" i="3"/>
  <c r="C62" i="1" s="1"/>
  <c r="I31" i="3"/>
  <c r="B62" i="1" s="1"/>
  <c r="L30" i="3"/>
  <c r="E61" i="1" s="1"/>
  <c r="K30" i="3"/>
  <c r="D61" i="1" s="1"/>
  <c r="J30" i="3"/>
  <c r="C61" i="1" s="1"/>
  <c r="I30" i="3"/>
  <c r="B61" i="1" s="1"/>
  <c r="L29" i="3"/>
  <c r="E60" i="1" s="1"/>
  <c r="K29" i="3"/>
  <c r="D60" i="1" s="1"/>
  <c r="J29" i="3"/>
  <c r="C60" i="1" s="1"/>
  <c r="I29" i="3"/>
  <c r="B60" i="1" s="1"/>
  <c r="L28" i="3"/>
  <c r="E59" i="1" s="1"/>
  <c r="K28" i="3"/>
  <c r="D59" i="1" s="1"/>
  <c r="J28" i="3"/>
  <c r="C59" i="1" s="1"/>
  <c r="I28" i="3"/>
  <c r="B59" i="1" s="1"/>
  <c r="L27" i="3"/>
  <c r="E58" i="1" s="1"/>
  <c r="K27" i="3"/>
  <c r="D58" i="1" s="1"/>
  <c r="J27" i="3"/>
  <c r="C58" i="1" s="1"/>
  <c r="I27" i="3"/>
  <c r="B58" i="1" s="1"/>
  <c r="L26" i="3"/>
  <c r="E57" i="1" s="1"/>
  <c r="K26" i="3"/>
  <c r="D57" i="1" s="1"/>
  <c r="J26" i="3"/>
  <c r="C57" i="1" s="1"/>
  <c r="I26" i="3"/>
  <c r="B57" i="1" s="1"/>
  <c r="L25" i="3"/>
  <c r="E56" i="1" s="1"/>
  <c r="K25" i="3"/>
  <c r="D56" i="1" s="1"/>
  <c r="J25" i="3"/>
  <c r="C56" i="1" s="1"/>
  <c r="I25" i="3"/>
  <c r="B56" i="1" s="1"/>
  <c r="L24" i="3"/>
  <c r="E55" i="1" s="1"/>
  <c r="K24" i="3"/>
  <c r="D55" i="1" s="1"/>
  <c r="J24" i="3"/>
  <c r="C55" i="1" s="1"/>
  <c r="I24" i="3"/>
  <c r="B55" i="1" s="1"/>
  <c r="L23" i="3"/>
  <c r="E54" i="1" s="1"/>
  <c r="K23" i="3"/>
  <c r="D54" i="1" s="1"/>
  <c r="J23" i="3"/>
  <c r="C54" i="1" s="1"/>
  <c r="I23" i="3"/>
  <c r="B54" i="1" s="1"/>
  <c r="L22" i="3"/>
  <c r="E53" i="1" s="1"/>
  <c r="K22" i="3"/>
  <c r="D53" i="1" s="1"/>
  <c r="J22" i="3"/>
  <c r="C53" i="1" s="1"/>
  <c r="I22" i="3"/>
  <c r="B53" i="1" s="1"/>
  <c r="L21" i="3"/>
  <c r="E52" i="1" s="1"/>
  <c r="K21" i="3"/>
  <c r="D52" i="1" s="1"/>
  <c r="J21" i="3"/>
  <c r="C52" i="1" s="1"/>
  <c r="I21" i="3"/>
  <c r="B52" i="1" s="1"/>
  <c r="L20" i="3"/>
  <c r="E51" i="1" s="1"/>
  <c r="K20" i="3"/>
  <c r="D51" i="1" s="1"/>
  <c r="J20" i="3"/>
  <c r="C51" i="1" s="1"/>
  <c r="I20" i="3"/>
  <c r="B51" i="1" s="1"/>
  <c r="L19" i="3"/>
  <c r="E50" i="1" s="1"/>
  <c r="K19" i="3"/>
  <c r="D50" i="1" s="1"/>
  <c r="J19" i="3"/>
  <c r="C50" i="1" s="1"/>
  <c r="I19" i="3"/>
  <c r="B50" i="1" s="1"/>
  <c r="L18" i="3"/>
  <c r="E49" i="1" s="1"/>
  <c r="K18" i="3"/>
  <c r="D49" i="1" s="1"/>
  <c r="J18" i="3"/>
  <c r="C49" i="1" s="1"/>
  <c r="I18" i="3"/>
  <c r="B49" i="1" s="1"/>
  <c r="L17" i="3"/>
  <c r="E48" i="1" s="1"/>
  <c r="K17" i="3"/>
  <c r="D48" i="1" s="1"/>
  <c r="J17" i="3"/>
  <c r="C48" i="1" s="1"/>
  <c r="I17" i="3"/>
  <c r="B48" i="1" s="1"/>
  <c r="L16" i="3"/>
  <c r="E47" i="1" s="1"/>
  <c r="K16" i="3"/>
  <c r="D47" i="1" s="1"/>
  <c r="J16" i="3"/>
  <c r="C47" i="1" s="1"/>
  <c r="I16" i="3"/>
  <c r="B47" i="1" s="1"/>
  <c r="L15" i="3"/>
  <c r="E46" i="1" s="1"/>
  <c r="K15" i="3"/>
  <c r="D46" i="1" s="1"/>
  <c r="J15" i="3"/>
  <c r="C46" i="1" s="1"/>
  <c r="I15" i="3"/>
  <c r="B46" i="1" s="1"/>
  <c r="L14" i="3"/>
  <c r="E45" i="1" s="1"/>
  <c r="K14" i="3"/>
  <c r="D45" i="1" s="1"/>
  <c r="J14" i="3"/>
  <c r="C45" i="1" s="1"/>
  <c r="I14" i="3"/>
  <c r="B45" i="1" s="1"/>
  <c r="L13" i="3"/>
  <c r="E44" i="1" s="1"/>
  <c r="K13" i="3"/>
  <c r="D44" i="1" s="1"/>
  <c r="J13" i="3"/>
  <c r="C44" i="1" s="1"/>
  <c r="I13" i="3"/>
  <c r="B44" i="1" s="1"/>
  <c r="L12" i="3"/>
  <c r="E43" i="1" s="1"/>
  <c r="K12" i="3"/>
  <c r="D43" i="1" s="1"/>
  <c r="J12" i="3"/>
  <c r="C43" i="1" s="1"/>
  <c r="I12" i="3"/>
  <c r="B43" i="1" s="1"/>
  <c r="L11" i="3"/>
  <c r="E42" i="1" s="1"/>
  <c r="K11" i="3"/>
  <c r="D42" i="1" s="1"/>
  <c r="J11" i="3"/>
  <c r="C42" i="1" s="1"/>
  <c r="I11" i="3"/>
  <c r="B42" i="1" s="1"/>
  <c r="L10" i="3"/>
  <c r="E41" i="1" s="1"/>
  <c r="K10" i="3"/>
  <c r="D41" i="1" s="1"/>
  <c r="J10" i="3"/>
  <c r="C41" i="1" s="1"/>
  <c r="I10" i="3"/>
  <c r="B41" i="1" s="1"/>
  <c r="L9" i="3"/>
  <c r="E40" i="1" s="1"/>
  <c r="K9" i="3"/>
  <c r="D40" i="1" s="1"/>
  <c r="J9" i="3"/>
  <c r="C40" i="1" s="1"/>
  <c r="I9" i="3"/>
  <c r="B40" i="1" s="1"/>
  <c r="L8" i="3"/>
  <c r="E39" i="1" s="1"/>
  <c r="K8" i="3"/>
  <c r="D39" i="1" s="1"/>
  <c r="J8" i="3"/>
  <c r="C39" i="1" s="1"/>
  <c r="I8" i="3"/>
  <c r="B39" i="1" s="1"/>
  <c r="L7" i="3"/>
  <c r="E38" i="1" s="1"/>
  <c r="K7" i="3"/>
  <c r="D38" i="1" s="1"/>
  <c r="J7" i="3"/>
  <c r="C38" i="1" s="1"/>
  <c r="I7" i="3"/>
  <c r="B38" i="1" s="1"/>
  <c r="L6" i="3"/>
  <c r="E37" i="1" s="1"/>
  <c r="K6" i="3"/>
  <c r="D37" i="1" s="1"/>
  <c r="J6" i="3"/>
  <c r="C37" i="1" s="1"/>
  <c r="I6" i="3"/>
  <c r="B37" i="1" s="1"/>
  <c r="L5" i="3"/>
  <c r="E36" i="1" s="1"/>
  <c r="K5" i="3"/>
  <c r="D36" i="1" s="1"/>
  <c r="J5" i="3"/>
  <c r="C36" i="1" s="1"/>
  <c r="I5" i="3"/>
  <c r="B36" i="1" s="1"/>
  <c r="L4" i="3"/>
  <c r="E35" i="1" s="1"/>
  <c r="K4" i="3"/>
  <c r="D35" i="1" s="1"/>
  <c r="J4" i="3"/>
  <c r="C35" i="1" s="1"/>
  <c r="I4" i="3"/>
  <c r="B35" i="1" s="1"/>
  <c r="L3" i="3"/>
  <c r="E34" i="1" s="1"/>
  <c r="K3" i="3"/>
  <c r="D34" i="1" s="1"/>
  <c r="J3" i="3"/>
  <c r="C34" i="1" s="1"/>
  <c r="I3" i="3"/>
  <c r="B34" i="1" s="1"/>
  <c r="L2" i="3"/>
  <c r="E33" i="1" s="1"/>
  <c r="K2" i="3"/>
  <c r="D33" i="1" s="1"/>
  <c r="J2" i="3"/>
  <c r="C33" i="1" s="1"/>
  <c r="I2" i="3"/>
  <c r="B33" i="1" s="1"/>
  <c r="L32" i="2" a="1"/>
  <c r="L32" i="2" s="1"/>
  <c r="E32" i="1" s="1"/>
  <c r="K32" i="2" a="1"/>
  <c r="K32" i="2" s="1"/>
  <c r="D32" i="1" s="1"/>
  <c r="J32" i="2" a="1"/>
  <c r="J32" i="2" s="1"/>
  <c r="C32" i="1" s="1"/>
  <c r="I32" i="2" a="1"/>
  <c r="I32" i="2" s="1"/>
  <c r="B32" i="1" s="1"/>
  <c r="L31" i="2"/>
  <c r="E31" i="1" s="1"/>
  <c r="K31" i="2"/>
  <c r="D31" i="1" s="1"/>
  <c r="J31" i="2"/>
  <c r="C31" i="1" s="1"/>
  <c r="I31" i="2"/>
  <c r="B31" i="1" s="1"/>
  <c r="L30" i="2"/>
  <c r="E30" i="1" s="1"/>
  <c r="K30" i="2"/>
  <c r="D30" i="1" s="1"/>
  <c r="J30" i="2"/>
  <c r="C30" i="1" s="1"/>
  <c r="I30" i="2"/>
  <c r="B30" i="1" s="1"/>
  <c r="L29" i="2"/>
  <c r="E29" i="1" s="1"/>
  <c r="K29" i="2"/>
  <c r="D29" i="1" s="1"/>
  <c r="J29" i="2"/>
  <c r="C29" i="1" s="1"/>
  <c r="I29" i="2"/>
  <c r="B29" i="1" s="1"/>
  <c r="L28" i="2"/>
  <c r="E28" i="1" s="1"/>
  <c r="K28" i="2"/>
  <c r="D28" i="1" s="1"/>
  <c r="J28" i="2"/>
  <c r="C28" i="1" s="1"/>
  <c r="I28" i="2"/>
  <c r="B28" i="1" s="1"/>
  <c r="L27" i="2"/>
  <c r="E27" i="1" s="1"/>
  <c r="K27" i="2"/>
  <c r="D27" i="1" s="1"/>
  <c r="J27" i="2"/>
  <c r="C27" i="1" s="1"/>
  <c r="I27" i="2"/>
  <c r="B27" i="1" s="1"/>
  <c r="L26" i="2"/>
  <c r="E26" i="1" s="1"/>
  <c r="K26" i="2"/>
  <c r="D26" i="1" s="1"/>
  <c r="J26" i="2"/>
  <c r="C26" i="1" s="1"/>
  <c r="I26" i="2"/>
  <c r="B26" i="1" s="1"/>
  <c r="L25" i="2"/>
  <c r="E25" i="1" s="1"/>
  <c r="K25" i="2"/>
  <c r="D25" i="1" s="1"/>
  <c r="J25" i="2"/>
  <c r="C25" i="1" s="1"/>
  <c r="I25" i="2"/>
  <c r="B25" i="1" s="1"/>
  <c r="L24" i="2"/>
  <c r="E24" i="1" s="1"/>
  <c r="K24" i="2"/>
  <c r="D24" i="1" s="1"/>
  <c r="J24" i="2"/>
  <c r="C24" i="1" s="1"/>
  <c r="I24" i="2"/>
  <c r="B24" i="1" s="1"/>
  <c r="L23" i="2"/>
  <c r="E23" i="1" s="1"/>
  <c r="K23" i="2"/>
  <c r="D23" i="1" s="1"/>
  <c r="J23" i="2"/>
  <c r="C23" i="1" s="1"/>
  <c r="I23" i="2"/>
  <c r="B23" i="1" s="1"/>
  <c r="L22" i="2"/>
  <c r="E22" i="1" s="1"/>
  <c r="K22" i="2"/>
  <c r="D22" i="1" s="1"/>
  <c r="J22" i="2"/>
  <c r="C22" i="1" s="1"/>
  <c r="I22" i="2"/>
  <c r="B22" i="1" s="1"/>
  <c r="L21" i="2"/>
  <c r="E21" i="1" s="1"/>
  <c r="K21" i="2"/>
  <c r="D21" i="1" s="1"/>
  <c r="J21" i="2"/>
  <c r="C21" i="1" s="1"/>
  <c r="I21" i="2"/>
  <c r="B21" i="1" s="1"/>
  <c r="L20" i="2"/>
  <c r="E20" i="1" s="1"/>
  <c r="K20" i="2"/>
  <c r="D20" i="1" s="1"/>
  <c r="J20" i="2"/>
  <c r="C20" i="1" s="1"/>
  <c r="I20" i="2"/>
  <c r="B20" i="1" s="1"/>
  <c r="L19" i="2"/>
  <c r="E19" i="1" s="1"/>
  <c r="K19" i="2"/>
  <c r="D19" i="1" s="1"/>
  <c r="J19" i="2"/>
  <c r="C19" i="1" s="1"/>
  <c r="I19" i="2"/>
  <c r="B19" i="1" s="1"/>
  <c r="L18" i="2"/>
  <c r="E18" i="1" s="1"/>
  <c r="K18" i="2"/>
  <c r="D18" i="1" s="1"/>
  <c r="J18" i="2"/>
  <c r="C18" i="1" s="1"/>
  <c r="I18" i="2"/>
  <c r="B18" i="1" s="1"/>
  <c r="L17" i="2"/>
  <c r="E17" i="1" s="1"/>
  <c r="K17" i="2"/>
  <c r="D17" i="1" s="1"/>
  <c r="J17" i="2"/>
  <c r="C17" i="1" s="1"/>
  <c r="I17" i="2"/>
  <c r="B17" i="1" s="1"/>
  <c r="L16" i="2"/>
  <c r="E16" i="1" s="1"/>
  <c r="K16" i="2"/>
  <c r="D16" i="1" s="1"/>
  <c r="J16" i="2"/>
  <c r="C16" i="1" s="1"/>
  <c r="I16" i="2"/>
  <c r="B16" i="1" s="1"/>
  <c r="L15" i="2"/>
  <c r="E15" i="1" s="1"/>
  <c r="K15" i="2"/>
  <c r="D15" i="1" s="1"/>
  <c r="J15" i="2"/>
  <c r="C15" i="1" s="1"/>
  <c r="I15" i="2"/>
  <c r="B15" i="1" s="1"/>
  <c r="L14" i="2"/>
  <c r="E14" i="1" s="1"/>
  <c r="K14" i="2"/>
  <c r="D14" i="1" s="1"/>
  <c r="J14" i="2"/>
  <c r="C14" i="1" s="1"/>
  <c r="I14" i="2"/>
  <c r="B14" i="1" s="1"/>
  <c r="L13" i="2"/>
  <c r="E13" i="1" s="1"/>
  <c r="K13" i="2"/>
  <c r="D13" i="1" s="1"/>
  <c r="J13" i="2"/>
  <c r="C13" i="1" s="1"/>
  <c r="I13" i="2"/>
  <c r="B13" i="1" s="1"/>
  <c r="L12" i="2"/>
  <c r="E12" i="1" s="1"/>
  <c r="K12" i="2"/>
  <c r="D12" i="1" s="1"/>
  <c r="J12" i="2"/>
  <c r="C12" i="1" s="1"/>
  <c r="I12" i="2"/>
  <c r="B12" i="1" s="1"/>
  <c r="L11" i="2"/>
  <c r="E11" i="1" s="1"/>
  <c r="K11" i="2"/>
  <c r="D11" i="1" s="1"/>
  <c r="J11" i="2"/>
  <c r="C11" i="1" s="1"/>
  <c r="I11" i="2"/>
  <c r="B11" i="1" s="1"/>
  <c r="L10" i="2"/>
  <c r="E10" i="1" s="1"/>
  <c r="K10" i="2"/>
  <c r="D10" i="1" s="1"/>
  <c r="J10" i="2"/>
  <c r="C10" i="1" s="1"/>
  <c r="I10" i="2"/>
  <c r="B10" i="1" s="1"/>
  <c r="L9" i="2"/>
  <c r="E9" i="1" s="1"/>
  <c r="K9" i="2"/>
  <c r="D9" i="1" s="1"/>
  <c r="J9" i="2"/>
  <c r="C9" i="1" s="1"/>
  <c r="I9" i="2"/>
  <c r="B9" i="1" s="1"/>
  <c r="L8" i="2"/>
  <c r="E8" i="1" s="1"/>
  <c r="K8" i="2"/>
  <c r="D8" i="1" s="1"/>
  <c r="J8" i="2"/>
  <c r="C8" i="1" s="1"/>
  <c r="I8" i="2"/>
  <c r="B8" i="1" s="1"/>
  <c r="L7" i="2"/>
  <c r="E7" i="1" s="1"/>
  <c r="K7" i="2"/>
  <c r="D7" i="1" s="1"/>
  <c r="J7" i="2"/>
  <c r="C7" i="1" s="1"/>
  <c r="I7" i="2"/>
  <c r="B7" i="1" s="1"/>
  <c r="L6" i="2"/>
  <c r="E6" i="1" s="1"/>
  <c r="K6" i="2"/>
  <c r="D6" i="1" s="1"/>
  <c r="J6" i="2"/>
  <c r="C6" i="1" s="1"/>
  <c r="I6" i="2"/>
  <c r="B6" i="1" s="1"/>
  <c r="L5" i="2"/>
  <c r="E5" i="1" s="1"/>
  <c r="K5" i="2"/>
  <c r="D5" i="1" s="1"/>
  <c r="J5" i="2"/>
  <c r="C5" i="1" s="1"/>
  <c r="I5" i="2"/>
  <c r="B5" i="1" s="1"/>
  <c r="L4" i="2"/>
  <c r="E4" i="1" s="1"/>
  <c r="K4" i="2"/>
  <c r="D4" i="1" s="1"/>
  <c r="J4" i="2"/>
  <c r="C4" i="1" s="1"/>
  <c r="I4" i="2"/>
  <c r="B4" i="1" s="1"/>
  <c r="L3" i="2"/>
  <c r="E3" i="1" s="1"/>
  <c r="K3" i="2"/>
  <c r="D3" i="1" s="1"/>
  <c r="J3" i="2"/>
  <c r="C3" i="1" s="1"/>
  <c r="I3" i="2"/>
  <c r="B3" i="1" s="1"/>
  <c r="L2" i="2"/>
  <c r="E2" i="1" s="1"/>
  <c r="K2" i="2"/>
  <c r="D2" i="1" s="1"/>
  <c r="J2" i="2"/>
  <c r="C2" i="1" s="1"/>
  <c r="I2" i="2"/>
  <c r="B2" i="1" s="1"/>
</calcChain>
</file>

<file path=xl/sharedStrings.xml><?xml version="1.0" encoding="utf-8"?>
<sst xmlns="http://schemas.openxmlformats.org/spreadsheetml/2006/main" count="596" uniqueCount="410">
  <si>
    <t>leg</t>
  </si>
  <si>
    <t>right.fencer</t>
  </si>
  <si>
    <t>left.fencer</t>
  </si>
  <si>
    <t>winner</t>
  </si>
  <si>
    <t>score</t>
  </si>
  <si>
    <t>Table of 32</t>
  </si>
  <si>
    <t>Table of 16</t>
  </si>
  <si>
    <t>Table of 8</t>
  </si>
  <si>
    <t>Semi-Finals</t>
  </si>
  <si>
    <t>Finals</t>
  </si>
  <si>
    <t>(1) LARRAZABAL ALEXA
NTP / PHI</t>
  </si>
  <si>
    <t>(1) LARRAZABAL ALEXA</t>
  </si>
  <si>
    <t>(32) TRINIDAD SOLANA MAYUMI
EZKRIMA / PHI</t>
  </si>
  <si>
    <t>15 - 5</t>
  </si>
  <si>
    <t>(17) MANAOIS IRISH
UE / PHI</t>
  </si>
  <si>
    <t>15 - 9
12:17 PM</t>
  </si>
  <si>
    <t>(16) ONG JICKLE CLAIN</t>
  </si>
  <si>
    <t>(16) ONG JICKLE CLAIN
CF / PHI</t>
  </si>
  <si>
    <t>15 - 8</t>
  </si>
  <si>
    <t>(9) VILLAPANDO JHOLAN
DLSU / PHI</t>
  </si>
  <si>
    <t>15 - 12
12:56 PM</t>
  </si>
  <si>
    <t>(9) BERNABE FRANCESCA BETTINA</t>
  </si>
  <si>
    <t>(24) BERNABE FRANCESCA BETTINA
ADMU / PHI</t>
  </si>
  <si>
    <t>15 - 13</t>
  </si>
  <si>
    <t>(8) DINOY IVY CLAIRE</t>
  </si>
  <si>
    <t>(25) JIMENEZ JULIANNA
UE / PHI</t>
  </si>
  <si>
    <t>15 - 8
12:20 PM</t>
  </si>
  <si>
    <t>(8) DINOY IVY CLAIRE
MP / PHI</t>
  </si>
  <si>
    <t>(5) VERGARA CYRRA
DLSU / PHI</t>
  </si>
  <si>
    <t>15 - 12
1:29 PM</t>
  </si>
  <si>
    <t>(5) VERGARA CYRRA</t>
  </si>
  <si>
    <t>(28) FELICIANO SUMMER LUCINE
AF / PHI</t>
  </si>
  <si>
    <t>(5) MENDOZA JENNINA</t>
  </si>
  <si>
    <t>(21) BELEN FRANCES CAMILLE
UP / PHI</t>
  </si>
  <si>
    <t>15 - 11
12:14 PM</t>
  </si>
  <si>
    <t>(12) MENDOZA JENNINA</t>
  </si>
  <si>
    <t>(12) MENDOZA JENNINA
UP / PHI</t>
  </si>
  <si>
    <t>15 - 2</t>
  </si>
  <si>
    <t>(4) MENDOZA JENNINA</t>
  </si>
  <si>
    <t>(13) SALVADOR IVANA
CF / PHI</t>
  </si>
  <si>
    <t>15 - 9
12:57 PM</t>
  </si>
  <si>
    <t>(13) NORO NAMI</t>
  </si>
  <si>
    <t>(20) NORO NAMI
UP / PHI</t>
  </si>
  <si>
    <t>(4) BALLESTEROS JULIANNA</t>
  </si>
  <si>
    <t>(29) RAFAEL GAY MARIE
RF / PHI</t>
  </si>
  <si>
    <t>15 - 13
12:22 PM</t>
  </si>
  <si>
    <t>(4) BALLESTEROS JULIANNA
UP / PHI</t>
  </si>
  <si>
    <t>15 - 9</t>
  </si>
  <si>
    <t>(3) CANLAS NINA DOMINIQUE
UE / PHI</t>
  </si>
  <si>
    <t>15 - 13
1:47 PM</t>
  </si>
  <si>
    <t>(3) CANLAS NINA DOMINIQUE</t>
  </si>
  <si>
    <t>(30) UY JANA ANNIKA
CF / PHI</t>
  </si>
  <si>
    <t>15 - 12</t>
  </si>
  <si>
    <t>(3) GOMEZ JULIANA MA. BEATRICE</t>
  </si>
  <si>
    <t>(19) RAGOT MIKAELA NICOLE
UE / PHI</t>
  </si>
  <si>
    <t>15 - 14
12:32 PM</t>
  </si>
  <si>
    <t>(14) GOMEZ JULIANA MA. BEATRICE</t>
  </si>
  <si>
    <t>(14) GOMEZ JULIANA MA. BEATRICE
MP / PHI</t>
  </si>
  <si>
    <t>15 - 7</t>
  </si>
  <si>
    <t>(11) BUSTOS MICKYLE REIN
RF / PHI</t>
  </si>
  <si>
    <t>15 - 11
1:05 PM</t>
  </si>
  <si>
    <t>(11) BUSTOS MICKYLE REIN</t>
  </si>
  <si>
    <t>(22) EDNILAG KRUPS KAYA
DLSU / PHI</t>
  </si>
  <si>
    <t>15 - 11</t>
  </si>
  <si>
    <t>(6) MATIAS ANDREA JENNELLE</t>
  </si>
  <si>
    <t>(27) TORRE PAPINA MARGUERITE
AF / PHI</t>
  </si>
  <si>
    <t>15 - 10
12:33 PM</t>
  </si>
  <si>
    <t>(6) MATIAS ANDREA JENNELLE
UE / PHI</t>
  </si>
  <si>
    <t>15 - 10</t>
  </si>
  <si>
    <t>(2) HARRISON ASHLEY MAE MICHELLE</t>
  </si>
  <si>
    <t>(7) HARRISON ASHLEY MAE MICHELLE
NTP / PHI</t>
  </si>
  <si>
    <t>15 - 13
1:28 PM</t>
  </si>
  <si>
    <t>(7) HARRISON ASHLEY MAE MICHELLE</t>
  </si>
  <si>
    <t>(26) JUNIA ELEINA MARGUERITE
AF / PHI</t>
  </si>
  <si>
    <t>(23) TAPALES ENDIRAJ MARGARET
UP / PHI</t>
  </si>
  <si>
    <t>14 - 11
12:36 PM</t>
  </si>
  <si>
    <t>(10) TAPALES ENDIRAJ MARGARET</t>
  </si>
  <si>
    <t>(10) SCHOFIELD CYRYLLE ANNE
UE / PHI</t>
  </si>
  <si>
    <t>(15) DEL ROSARIO SARINA KELLY
RF / PHI</t>
  </si>
  <si>
    <t>15 - 11
1:04 PM</t>
  </si>
  <si>
    <t>(15) DELOS SANTOS JAYMI</t>
  </si>
  <si>
    <t>(18) DELOS SANTOS JAYMI
NTP / PHI</t>
  </si>
  <si>
    <t>15 - 4</t>
  </si>
  <si>
    <t>(2) DELOS SANTOS JAYMI</t>
  </si>
  <si>
    <t>(31) RAFAEL RANA IMOGEN
ADMU / PHI</t>
  </si>
  <si>
    <t>15 - 10
12:32 PM</t>
  </si>
  <si>
    <t>(2) ABELLA HANNIEL</t>
  </si>
  <si>
    <t>(2) ABELLA HANNIEL
NTP / PHI</t>
  </si>
  <si>
    <t>© Copyright 2025 Fencing Time, LLC</t>
  </si>
  <si>
    <r>
      <rPr>
        <u/>
        <sz val="10"/>
        <color rgb="FF1155CC"/>
        <rFont val="inherit"/>
      </rPr>
      <t>www.fencingtime.com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www.fencingtimelive.com</t>
    </r>
  </si>
  <si>
    <r>
      <rPr>
        <u/>
        <sz val="10"/>
        <color rgb="FF1155CC"/>
        <rFont val="inherit"/>
      </rPr>
      <t>Terms of Use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Privacy Policy</t>
    </r>
  </si>
  <si>
    <t>Table of 64</t>
  </si>
  <si>
    <t>(1) SEVILLA JULIANA SHANE
MP / PHI</t>
  </si>
  <si>
    <t>(1) SEVILLA JULIANA SHANE</t>
  </si>
  <si>
    <t>(64) - BYE -</t>
  </si>
  <si>
    <t>(33) SIA SARAH-INGRID AURELIA
RF / PHI</t>
  </si>
  <si>
    <t>13 - 7
12:17 PM</t>
  </si>
  <si>
    <t>(32) CAPUNO DAHLIA MAE</t>
  </si>
  <si>
    <t>(32) CAPUNO DAHLIA MAE
USTFT / PHI</t>
  </si>
  <si>
    <t>15 - 14</t>
  </si>
  <si>
    <t>(1) DELOS SANTOS JAYMI</t>
  </si>
  <si>
    <t>(17) DELOS SANTOS JAYMI
NTP / PHI</t>
  </si>
  <si>
    <t>15 - 7
12:50 PM</t>
  </si>
  <si>
    <t>(17) DELOS SANTOS JAYMI</t>
  </si>
  <si>
    <t>(48) - BYE -</t>
  </si>
  <si>
    <t>(16) DELOS SANTOS JAYMI</t>
  </si>
  <si>
    <t>(49) - BYE -</t>
  </si>
  <si>
    <t>(16) MENDOZA JENNINA</t>
  </si>
  <si>
    <t>(16) MENDOZA JENNINA
UP / PHI</t>
  </si>
  <si>
    <t>(1) EDNILAG KRUPS KAYA</t>
  </si>
  <si>
    <t>(9) EDNILAG KRUPS KAYA
DLSU / PHI</t>
  </si>
  <si>
    <t>15 - 10
1:37 PM</t>
  </si>
  <si>
    <t>(9) EDNILAG KRUPS KAYA</t>
  </si>
  <si>
    <t>(56) - BYE -</t>
  </si>
  <si>
    <t>(41) - BYE -</t>
  </si>
  <si>
    <t>(24) SANDOVAL JUSTA ANDREA</t>
  </si>
  <si>
    <t>(24) SANDOVAL JUSTA ANDREA
CF / PHI</t>
  </si>
  <si>
    <t>(8) EDNILAG KRUPS KAYA</t>
  </si>
  <si>
    <t>(25) SALVADOR IVANA
CF / PHI</t>
  </si>
  <si>
    <t>15 - 11
12:48 PM</t>
  </si>
  <si>
    <t>(25) SALVADOR IVANA</t>
  </si>
  <si>
    <t>(40) - BYE -</t>
  </si>
  <si>
    <t>(8) SALVADOR IVANA</t>
  </si>
  <si>
    <t>(57) - BYE -</t>
  </si>
  <si>
    <t>12 - 11</t>
  </si>
  <si>
    <t>(8) TAPALES ENDIRAJ MARGARET</t>
  </si>
  <si>
    <t>(8) TAPALES ENDIRAJ MARGARET
UP / PHI</t>
  </si>
  <si>
    <t>(5) MATIAS ANDREA JENNELLE
UE / PHI</t>
  </si>
  <si>
    <t>15 - 9
2:06 PM</t>
  </si>
  <si>
    <t>(5) MATIAS ANDREA JENNELLE</t>
  </si>
  <si>
    <t>(60) - BYE -</t>
  </si>
  <si>
    <t>(37) - BYE -</t>
  </si>
  <si>
    <t>15 - 6</t>
  </si>
  <si>
    <t>(28) TORRE PAPINA MARGUERITE</t>
  </si>
  <si>
    <t>(28) TORRE PAPINA MARGUERITE
AF / PHI</t>
  </si>
  <si>
    <t>(21) DELA CRUZ CHIARA MICHAELA
UPFC / PHI</t>
  </si>
  <si>
    <t>15 - 7
12:39 PM</t>
  </si>
  <si>
    <t>(21) DELA CRUZ CHIARA MICHAELA</t>
  </si>
  <si>
    <t>(44) - BYE -</t>
  </si>
  <si>
    <t>(12) SCHOFIELD CYRYLLE ANNE</t>
  </si>
  <si>
    <t>(53) - BYE -</t>
  </si>
  <si>
    <t>(12) SCHOFIELD CYRYLLE ANNE
UE / PHI</t>
  </si>
  <si>
    <t>(4) GOMEZ JULIANA MA. BEATRICE</t>
  </si>
  <si>
    <t>(13) TRINIDAD SOLANA MAYUMI
EZKRIMA / PHI</t>
  </si>
  <si>
    <t>15 - 14
1:29 PM</t>
  </si>
  <si>
    <t>(13) TRINIDAD SOLANA MAYUMI</t>
  </si>
  <si>
    <t>(52) - BYE -</t>
  </si>
  <si>
    <t>(45) - BYE -</t>
  </si>
  <si>
    <t>(20) RAGOT MIKAELA NICOLE</t>
  </si>
  <si>
    <t>(20) RAGOT MIKAELA NICOLE
UE / PHI</t>
  </si>
  <si>
    <t>(29) JUNIA ELEINA MARGUERITE
AF / PHI</t>
  </si>
  <si>
    <t>15 - 5
1:09 PM</t>
  </si>
  <si>
    <t>(29) JUNIA ELEINA MARGUERITE</t>
  </si>
  <si>
    <t>(36) PALO AJ DREYFUS
ADMU / PHI</t>
  </si>
  <si>
    <t>(61) - BYE -</t>
  </si>
  <si>
    <t>15 - 2
12:19 PM</t>
  </si>
  <si>
    <t>(4) GOMEZ JULIANA MA. BEATRICE
MP / PHI</t>
  </si>
  <si>
    <t>(3) ABELLA HANNIEL
NTP / PHI</t>
  </si>
  <si>
    <t>15 - 8
2:34 PM</t>
  </si>
  <si>
    <t>(3) ABELLA HANNIEL</t>
  </si>
  <si>
    <t>(62) - BYE -</t>
  </si>
  <si>
    <t>(35) FELICIANO SUMMER LUCINE
AF / PHI</t>
  </si>
  <si>
    <t>15 - 4
12:23 PM</t>
  </si>
  <si>
    <t>(30) GEPUELA CATHERINE THERESE</t>
  </si>
  <si>
    <t>(30) GEPUELA CATHERINE THERESE
UP / PHI</t>
  </si>
  <si>
    <t>11 - 10</t>
  </si>
  <si>
    <t>(19) FLORES MARIEL ELIANNE
UP / PHI</t>
  </si>
  <si>
    <t>15 - 5
1:00 PM</t>
  </si>
  <si>
    <t>(19) FLORES MARIEL ELIANNE</t>
  </si>
  <si>
    <t>(46) - BYE -</t>
  </si>
  <si>
    <t>(14) FLORES MARIEL ELIANNE</t>
  </si>
  <si>
    <t>(51) - BYE -</t>
  </si>
  <si>
    <t>(14) VILLAPANDO JHOLAN</t>
  </si>
  <si>
    <t>(14) VILLAPANDO JHOLAN
DLSU / PHI</t>
  </si>
  <si>
    <t>(3) HARRISON ASHLEY MAE MICHELLE</t>
  </si>
  <si>
    <t>(11) DINOY IVY CLAIRE
MP / PHI</t>
  </si>
  <si>
    <t>15 - 13
1:40 PM</t>
  </si>
  <si>
    <t>(11) DINOY IVY CLAIRE</t>
  </si>
  <si>
    <t>(54) - BYE -</t>
  </si>
  <si>
    <t>(43) - BYE -</t>
  </si>
  <si>
    <t>(22) NORO NAMI</t>
  </si>
  <si>
    <t>(22) NORO NAMI
UP / PHI</t>
  </si>
  <si>
    <t>(6) HARRISON ASHLEY MAE MICHELLE</t>
  </si>
  <si>
    <t>(27) MANAOIS IRISH
UE / PHI</t>
  </si>
  <si>
    <t>13 - 8
1:13 PM</t>
  </si>
  <si>
    <t>(27) MANAOIS IRISH</t>
  </si>
  <si>
    <t>(38) - BYE -</t>
  </si>
  <si>
    <t>(59) - BYE -</t>
  </si>
  <si>
    <t>(6) HARRISON ASHLEY MAE MICHELLE
NTP / PHI</t>
  </si>
  <si>
    <t>(2) LARRAZABAL ALEXA</t>
  </si>
  <si>
    <t>(7) LARRAZABAL ALEXA
NTP / PHI</t>
  </si>
  <si>
    <t>15 - 10
2:10 PM</t>
  </si>
  <si>
    <t>(7) LARRAZABAL ALEXA</t>
  </si>
  <si>
    <t>(58) - BYE -</t>
  </si>
  <si>
    <t>(39) - BYE -</t>
  </si>
  <si>
    <t>(26) SYKAT ROBYN NOELLE</t>
  </si>
  <si>
    <t>(26) SYKAT ROBYN NOELLE
RF / PHI</t>
  </si>
  <si>
    <t>(23) MARTINEZ TASHA ISABELLA
HCFC / PHI</t>
  </si>
  <si>
    <t>15 - 5
1:05 PM</t>
  </si>
  <si>
    <t>(23) MARTINEZ TASHA ISABELLA</t>
  </si>
  <si>
    <t>(42) - BYE -</t>
  </si>
  <si>
    <t>(10) BUSTOS MICKYLE REIN</t>
  </si>
  <si>
    <t>(55) - BYE -</t>
  </si>
  <si>
    <t>(10) BUSTOS MICKYLE REIN
RF / PHI</t>
  </si>
  <si>
    <t>(15) ONG JICKLE CLAIN
CF / PHI</t>
  </si>
  <si>
    <t>15 - 4
1:44 PM</t>
  </si>
  <si>
    <t>(15) ONG JICKLE CLAIN</t>
  </si>
  <si>
    <t>(50) - BYE -</t>
  </si>
  <si>
    <t>(15) VERGARA CYRRA</t>
  </si>
  <si>
    <t>(47) - BYE -</t>
  </si>
  <si>
    <t>(18) VERGARA CYRRA</t>
  </si>
  <si>
    <t>(18) VERGARA CYRRA
DLSU / PHI</t>
  </si>
  <si>
    <t>(2) VERGARA CYRRA</t>
  </si>
  <si>
    <t>(31) BUENO MARIA KRISTINA ANGELA
CF / PHI</t>
  </si>
  <si>
    <t>15 - 8
1:04 PM</t>
  </si>
  <si>
    <t>(31) BUENO MARIA KRISTINA ANGELA</t>
  </si>
  <si>
    <t>(34) LOPEZ ALTHEA SOPHIA
USTFT / PHI</t>
  </si>
  <si>
    <t>(2) CANLAS NINA DOMINIQUE</t>
  </si>
  <si>
    <t>(63) - BYE -</t>
  </si>
  <si>
    <t>15 - 11
12:19 PM</t>
  </si>
  <si>
    <t>(2) CANLAS NINA DOMINIQUE
UE / PHI</t>
  </si>
  <si>
    <r>
      <rPr>
        <u/>
        <sz val="10"/>
        <color rgb="FF1155CC"/>
        <rFont val="inherit"/>
      </rPr>
      <t>www.fencingtime.com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www.fencingtimelive.com</t>
    </r>
  </si>
  <si>
    <r>
      <rPr>
        <u/>
        <sz val="10"/>
        <color rgb="FF1155CC"/>
        <rFont val="inherit"/>
      </rPr>
      <t>Terms of Use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Privacy Policy</t>
    </r>
  </si>
  <si>
    <t>(32) SIA SARAH-INGRID AURELIA
RF / PHI</t>
  </si>
  <si>
    <t>(17) ONG JICKLE CLAIN
CF / PHI</t>
  </si>
  <si>
    <t>15 - 13
11:45 AM</t>
  </si>
  <si>
    <t>(16) MANAOIS IRISH
UE / PHI</t>
  </si>
  <si>
    <t>(9) TRINIDAD SOLANA MAYUMI
EZKRIMA / PHI</t>
  </si>
  <si>
    <t>15 - 8
12:49 PM</t>
  </si>
  <si>
    <t>(9) TRINIDAD SOLANA MAYUMI</t>
  </si>
  <si>
    <t>(24) GEPUELA CATHERINE THERESE
UP / PHI</t>
  </si>
  <si>
    <t>(8) HARRISON ASHLEY MAE MICHELLE</t>
  </si>
  <si>
    <t>(25) BARRIENTOS ANDREA
HCFC / PHI</t>
  </si>
  <si>
    <t>15 - 6
11:54 AM</t>
  </si>
  <si>
    <t>(8) HARRISON ASHLEY MAE MICHELLE
NTP / PHI</t>
  </si>
  <si>
    <t>15 - 3</t>
  </si>
  <si>
    <t>(1) ABELLA HANNIEL</t>
  </si>
  <si>
    <t>(5) SCHOFIELD CYRYLLE ANNE
UE / PHI</t>
  </si>
  <si>
    <t>15 - 12
1:17 PM</t>
  </si>
  <si>
    <t>(5) SCHOFIELD CYRYLLE ANNE</t>
  </si>
  <si>
    <t>(28) SANDOVAL JUSTA ANDREA
CF / PHI</t>
  </si>
  <si>
    <t>(5) BUSTOS MICKYLE REIN</t>
  </si>
  <si>
    <t>(21) TORRE PAPINA MARGUERITE
AF / PHI</t>
  </si>
  <si>
    <t>15 - 9
11:47 AM</t>
  </si>
  <si>
    <t>(12) BUSTOS MICKYLE REIN</t>
  </si>
  <si>
    <t>(12) BUSTOS MICKYLE REIN
RF / PHI</t>
  </si>
  <si>
    <t>(4) ABELLA HANNIEL</t>
  </si>
  <si>
    <t>(13) CANLAS NINA DOMINIQUE
UE / PHI</t>
  </si>
  <si>
    <t>15 - 11
12:47 PM</t>
  </si>
  <si>
    <t>(13) CANLAS NINA DOMINIQUE</t>
  </si>
  <si>
    <t>(20) SYKAT ROBYN NOELLE
RF / PHI</t>
  </si>
  <si>
    <t>(29) DELA CRUZ CHIARA MICHAELA
UPFC / PHI</t>
  </si>
  <si>
    <t>15 - 9
11:52 AM</t>
  </si>
  <si>
    <t>(4) ABELLA HANNIEL
NTP / PHI</t>
  </si>
  <si>
    <t>(1) DINOY IVY CLAIRE</t>
  </si>
  <si>
    <t>(3) GOMEZ JULIANA MA. BEATRICE
MP / PHI</t>
  </si>
  <si>
    <t>12 - 6
1:46 PM Strip F</t>
  </si>
  <si>
    <t>(30) TAPALES ENDIRAJ MARGARET
UP / PHI</t>
  </si>
  <si>
    <t>(19) NORO NAMI
UP / PHI</t>
  </si>
  <si>
    <t>15 - 7
12:16 PM</t>
  </si>
  <si>
    <t>(14) NORO NAMI</t>
  </si>
  <si>
    <t>(14) RAGOT MIKAELA NICOLE
UE / PHI</t>
  </si>
  <si>
    <t>(11) DELOS SANTOS JAYMI
NTP / PHI</t>
  </si>
  <si>
    <t>15 - 14
12:50 PM</t>
  </si>
  <si>
    <t>(11) BUENO MARIA KRISTINA ANGELA</t>
  </si>
  <si>
    <t>(22) BUENO MARIA KRISTINA ANGELA
CF / PHI</t>
  </si>
  <si>
    <t>(6) VERGARA CYRRA</t>
  </si>
  <si>
    <t>(27) MARTINEZ TASHA ISABELLA
HCFC / PHI</t>
  </si>
  <si>
    <t>15 - 10
12:14 PM</t>
  </si>
  <si>
    <t>(6) VERGARA CYRRA
DLSU / PHI</t>
  </si>
  <si>
    <t>(2) DINOY IVY CLAIRE</t>
  </si>
  <si>
    <t>(7) SALVADOR IVANA
CF / PHI</t>
  </si>
  <si>
    <t>12 - 11
1:15 PM</t>
  </si>
  <si>
    <t>(7) SALVADOR IVANA</t>
  </si>
  <si>
    <t>(26) FELICIANO SUMMER LUCINE
AF / PHI</t>
  </si>
  <si>
    <t>(23) FLORES MARIEL ELIANNE
UP / PHI</t>
  </si>
  <si>
    <t>15 - 10
12:12 PM</t>
  </si>
  <si>
    <t>(10) EDNILAG KRUPS KAYA</t>
  </si>
  <si>
    <t>(10) EDNILAG KRUPS KAYA
DLSU / PHI</t>
  </si>
  <si>
    <t>(15) MATIAS ANDREA JENNELLE
UE / PHI</t>
  </si>
  <si>
    <t>15 - 1
12:49 PM</t>
  </si>
  <si>
    <t>(15) MATIAS ANDREA JENNELLE</t>
  </si>
  <si>
    <t>(18) MENDOZA JENNINA
UP / PHI</t>
  </si>
  <si>
    <t>(31) JUNIA ELEINA MARGUERITE
AF / PHI</t>
  </si>
  <si>
    <t>15 - 8
12:14 PM</t>
  </si>
  <si>
    <t>(2) DINOY IVY CLAIRE
MP / PHI</t>
  </si>
  <si>
    <r>
      <rPr>
        <u/>
        <sz val="10"/>
        <color rgb="FF1155CC"/>
        <rFont val="inherit"/>
      </rPr>
      <t>www.fencingtime.com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www.fencingtimelive.com</t>
    </r>
  </si>
  <si>
    <r>
      <rPr>
        <u/>
        <sz val="10"/>
        <color rgb="FF1155CC"/>
        <rFont val="inherit"/>
      </rPr>
      <t>Terms of Use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Privacy Policy</t>
    </r>
  </si>
  <si>
    <t>(1) DINOY IVY CLAIRE
PMPA / PHI</t>
  </si>
  <si>
    <t>(32) - BYE -</t>
  </si>
  <si>
    <t>(17) BUENO MARIA KRISTINA ANGELA
CF / PHI</t>
  </si>
  <si>
    <t>(16) BUSTOS MICKYLE REIN</t>
  </si>
  <si>
    <t>(16) BUSTOS MICKYLE REIN
RF / PHI</t>
  </si>
  <si>
    <t>(9) TAPALES ENDIRAJ MARGARET
UP / PHI</t>
  </si>
  <si>
    <t>15 - 8
12:50 PM</t>
  </si>
  <si>
    <t>(9) TAPALES ENDIRAJ MARGARET</t>
  </si>
  <si>
    <t>(24) TORRE PAPINA MARGUERITE
AF / PHI</t>
  </si>
  <si>
    <t>(8) SYKAT ROBYN NOELLE</t>
  </si>
  <si>
    <t>(25) SYKAT ROBYN NOELLE
RF / PHI</t>
  </si>
  <si>
    <t>15 - 10
11:58 AM</t>
  </si>
  <si>
    <t>(8) SANDOVAL JUSTA ANDREA
CF / PHI</t>
  </si>
  <si>
    <t>(5) ABELLA HANNIEL
NTP / PHI</t>
  </si>
  <si>
    <t>13 - 12
1:25 PM</t>
  </si>
  <si>
    <t>(5) ABELLA HANNIEL</t>
  </si>
  <si>
    <t>(28) RAFAEL GAY MARIE
RF / PHI</t>
  </si>
  <si>
    <t>(21) JUNIA ELEINA MARGUERITE
AF / PHI</t>
  </si>
  <si>
    <t>15 - 10
11:50 AM</t>
  </si>
  <si>
    <t>(12) SALVADOR IVANA</t>
  </si>
  <si>
    <t>(12) SALVADOR IVANA
CF / PHI</t>
  </si>
  <si>
    <t>(13) VILLAPANDO JHOLAN
DLSU / PHI</t>
  </si>
  <si>
    <t>15 - 9
12:49 PM</t>
  </si>
  <si>
    <t>(4) HARRISON ASHLEY MAE MICHELLE</t>
  </si>
  <si>
    <t>(29) SIA SARAH-INGRID AURELIA
RF / PHI</t>
  </si>
  <si>
    <t>15 - 7
11:53 AM</t>
  </si>
  <si>
    <t>(4) HARRISON ASHLEY MAE MICHELLE
NTP / PHI</t>
  </si>
  <si>
    <t>(3) MATIAS ANDREA JENNELLE
UE / PHI</t>
  </si>
  <si>
    <t>15 - 10
2:02 PM</t>
  </si>
  <si>
    <t>(3) MATIAS ANDREA JENNELLE</t>
  </si>
  <si>
    <t>(30) MANAOIS IRISH
UE / PHI</t>
  </si>
  <si>
    <t>(19) CAPINA MIYAKE
DLSZ / PHI</t>
  </si>
  <si>
    <t>15 - 11
12:16 PM</t>
  </si>
  <si>
    <t>(14) MENDOZA JENNINA</t>
  </si>
  <si>
    <t>(14) MENDOZA JENNINA
UP / PHI</t>
  </si>
  <si>
    <t>(3) DELOS SANTOS JAYMI</t>
  </si>
  <si>
    <t>15 - 10
12:47 PM</t>
  </si>
  <si>
    <t>(11) DELOS SANTOS JAYMI</t>
  </si>
  <si>
    <t>(22) FLORES MARIEL ELIANNE
UP / PHI</t>
  </si>
  <si>
    <t>(6) DELOS SANTOS JAYMI</t>
  </si>
  <si>
    <t>(27) RAGOT MIKAELA NICOLE
UE / PHI</t>
  </si>
  <si>
    <t>15 - 12
12:19 PM</t>
  </si>
  <si>
    <t>(6) CANLAS NINA DOMINIQUE</t>
  </si>
  <si>
    <t>(6) CANLAS NINA DOMINIQUE
UE / PHI</t>
  </si>
  <si>
    <t>(7) GOMEZ JULIANA MA. BEATRICE
PMPA / PHI</t>
  </si>
  <si>
    <t>15 - 10
1:22 PM</t>
  </si>
  <si>
    <t>(7) GOMEZ JULIANA MA. BEATRICE</t>
  </si>
  <si>
    <t>(26) DEL ROSARIO SARINA KELLY
RF / PHI</t>
  </si>
  <si>
    <t>(23) EDNILAG KRUPSKAYA
DLSU / PHI</t>
  </si>
  <si>
    <t>15 - 5
12:17 PM</t>
  </si>
  <si>
    <t>(10) EDNILAG KRUPSKAYA</t>
  </si>
  <si>
    <t>(10) RAFAEL RANA IMOGEN
ADMU/RF / PHI</t>
  </si>
  <si>
    <t>(15) UY JANA ANNIKA
CF / PHI</t>
  </si>
  <si>
    <t>15 - 7
12:43 PM</t>
  </si>
  <si>
    <t>(15) UY JANA ANNIKA</t>
  </si>
  <si>
    <t>(18) BACCAY MARTINA JENE
DLSZ / PHI</t>
  </si>
  <si>
    <t>(31) MANGULABNAN KIANA DOMINIQUE
UPFC / PHI</t>
  </si>
  <si>
    <t>15 - 8
12:21 PM</t>
  </si>
  <si>
    <t>(2) LARRAZABAL ALEXA
NTP / PHI</t>
  </si>
  <si>
    <r>
      <rPr>
        <u/>
        <sz val="10"/>
        <color rgb="FF1155CC"/>
        <rFont val="inherit"/>
      </rPr>
      <t>www.fencingtime.com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www.fencingtimelive.com</t>
    </r>
  </si>
  <si>
    <r>
      <rPr>
        <u/>
        <sz val="10"/>
        <color rgb="FF1155CC"/>
        <rFont val="inherit"/>
      </rPr>
      <t>Terms of Use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Privacy Policy</t>
    </r>
  </si>
  <si>
    <t>(1) ABELLA HANNIEL
NTP / PHI</t>
  </si>
  <si>
    <t>(17) FLORES MARIEL ELIANNE FRANCESCA
UP / PHI</t>
  </si>
  <si>
    <t>15 - 9
11:15 AM</t>
  </si>
  <si>
    <t>(16) FLORES MARIEL ELIANNE FRANCESCA</t>
  </si>
  <si>
    <t>(9) DELOS SANTOS JAYMI
NTP / PHI</t>
  </si>
  <si>
    <t>15 - 11
12:02 PM</t>
  </si>
  <si>
    <t>(9) DELOS SANTOS JAYMI</t>
  </si>
  <si>
    <t>(24) SALVADOR IVANA
CF / PHI</t>
  </si>
  <si>
    <t>14 - 13</t>
  </si>
  <si>
    <t>(8) DELOS SANTOS JAYMI</t>
  </si>
  <si>
    <t>(25) UY JANA ANNIKA
CF / PHI</t>
  </si>
  <si>
    <t>15 - 13
11:23 AM</t>
  </si>
  <si>
    <t>(8) UY JANA ANNIKA</t>
  </si>
  <si>
    <t>(8) MARTINEZ TASHA ISABELLA
HCFC / PHI</t>
  </si>
  <si>
    <t>(5) HARRISON ASHLEY MAE MICHELLE
NTP / PHI</t>
  </si>
  <si>
    <t>15 - 11
12:38 PM</t>
  </si>
  <si>
    <t>(5) HARRISON ASHLEY MAE MICHELLE</t>
  </si>
  <si>
    <t>(28) - BYE -</t>
  </si>
  <si>
    <t>(21) ASIS JUZ LOVAINE
PMPA / PHI</t>
  </si>
  <si>
    <t>15 - 12
11:21 AM</t>
  </si>
  <si>
    <t>(12) MATIAS ANDREA JENNELLE</t>
  </si>
  <si>
    <t>(12) MATIAS ANDREA JENNELLE
UE / PHI</t>
  </si>
  <si>
    <t>(13) EDNILAG KRUPSKAYA
DLSU / PHI</t>
  </si>
  <si>
    <t>12 - 11
12:03 PM</t>
  </si>
  <si>
    <t>(13) EDNILAG KRUPSKAYA</t>
  </si>
  <si>
    <t>(20) RAFAEL RANA IMOGEN
ADMU/RF / PHI</t>
  </si>
  <si>
    <t>(29) - BYE -</t>
  </si>
  <si>
    <t>15 - 7
11:15 AM</t>
  </si>
  <si>
    <t>(4) GOMEZ JULIANA MA. BEATRICE
PMPA / PHI</t>
  </si>
  <si>
    <t>(3) LARRAZABAL ALEXA
NTP / PHI</t>
  </si>
  <si>
    <t>15 - 14
1:22 PM</t>
  </si>
  <si>
    <t>(3) LARRAZABAL ALEXA</t>
  </si>
  <si>
    <t>(30) - BYE -</t>
  </si>
  <si>
    <t>(19) BACCAY MARTINA JENE
DLSZ / PHI</t>
  </si>
  <si>
    <t>15 - 7
11:21 AM</t>
  </si>
  <si>
    <t>(11) TRINIDAD SOLANA MAYUMI
EZKRIMA / PHI</t>
  </si>
  <si>
    <t>15 - 8
12:03 PM</t>
  </si>
  <si>
    <t>(11) TRINIDAD SOLANA MAYUMI</t>
  </si>
  <si>
    <t>(22) CAPINA MIYAKE
DLSZ / PHI</t>
  </si>
  <si>
    <t>(6) TRINIDAD SOLANA MAYUMI</t>
  </si>
  <si>
    <t>(27) - BYE -</t>
  </si>
  <si>
    <t>13 - 7
11:18 AM</t>
  </si>
  <si>
    <t>(6) SANDOVAL JUSTA ANDREA</t>
  </si>
  <si>
    <t>(6) SANDOVAL JUSTA ANDREA
CF / PHI</t>
  </si>
  <si>
    <t>(7) BUSTOS MICKYLE REIN
RF / PHI</t>
  </si>
  <si>
    <t>15 - 12
12:39 PM</t>
  </si>
  <si>
    <t>(7) BUSTOS MICKYLE REIN</t>
  </si>
  <si>
    <t>(26) - BYE -</t>
  </si>
  <si>
    <t>(23) CARIG SOPHIA
OF / PHI</t>
  </si>
  <si>
    <t>15 - 11
11:17 AM</t>
  </si>
  <si>
    <t>(10) CANLAS NINA DOMINIQUE</t>
  </si>
  <si>
    <t>(10) CANLAS NINA DOMINIQUE
UE / PHI</t>
  </si>
  <si>
    <t>(15) TORRE PAPINA MARGUERITE
AF / PHI</t>
  </si>
  <si>
    <t>15 - 9
12:00 PM</t>
  </si>
  <si>
    <t>(15) TORRE PAPINA MARGUERITE</t>
  </si>
  <si>
    <t>(18) SYKAT ROBYN NOELLE
RF / PHI</t>
  </si>
  <si>
    <t>(31) - BYE -</t>
  </si>
  <si>
    <t>15 - 4
11:38 AM</t>
  </si>
  <si>
    <t>(2) DINOY IVY CLAIRE
PMPA / PHI</t>
  </si>
  <si>
    <r>
      <rPr>
        <u/>
        <sz val="10"/>
        <color rgb="FF1155CC"/>
        <rFont val="inherit"/>
      </rPr>
      <t>www.fencingtime.com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www.fencingtimelive.com</t>
    </r>
  </si>
  <si>
    <r>
      <rPr>
        <u/>
        <sz val="10"/>
        <color rgb="FF1155CC"/>
        <rFont val="inherit"/>
      </rPr>
      <t>Terms of Use</t>
    </r>
    <r>
      <rPr>
        <sz val="10"/>
        <color rgb="FF212529"/>
        <rFont val="Inherit"/>
      </rPr>
      <t xml:space="preserve"> | </t>
    </r>
    <r>
      <rPr>
        <u/>
        <sz val="10"/>
        <color rgb="FF1155CC"/>
        <rFont val="inherit"/>
      </rPr>
      <t>Privacy Policy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</si>
</sst>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212529"/>
      <name val="Inherit"/>
    </font>
    <font>
      <sz val="10"/>
      <color rgb="FF212529"/>
      <name val="Inherit"/>
    </font>
    <font>
      <b/>
      <sz val="10"/>
      <color rgb="FF000000"/>
      <name val="Inherit"/>
    </font>
    <font>
      <u/>
      <sz val="10"/>
      <color rgb="FF212529"/>
      <name val="Inherit"/>
    </font>
    <font>
      <u/>
      <sz val="10"/>
      <color rgb="FF1155CC"/>
      <name val="inherit"/>
    </font>
  </fonts>
  <fills count="5">
    <fill>
      <patternFill patternType="none"/>
    </fill>
    <fill>
      <patternFill patternType="gray125"/>
    </fill>
    <fill>
      <patternFill patternType="solid">
        <fgColor rgb="FFD2B48C"/>
        <bgColor rgb="FFD2B48C"/>
      </patternFill>
    </fill>
    <fill>
      <patternFill patternType="solid">
        <fgColor rgb="FFFAFAD2"/>
        <bgColor rgb="FFFAFAD2"/>
      </patternFill>
    </fill>
    <fill>
      <patternFill patternType="solid">
        <fgColor rgb="FFEEE8AA"/>
        <bgColor rgb="FFEEE8A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22222"/>
      </bottom>
      <diagonal/>
    </border>
    <border>
      <left/>
      <right style="medium">
        <color rgb="FF222222"/>
      </right>
      <top/>
      <bottom/>
      <diagonal/>
    </border>
    <border>
      <left/>
      <right style="medium">
        <color rgb="FF222222"/>
      </right>
      <top/>
      <bottom style="medium">
        <color rgb="FF2222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 vertical="top"/>
    </xf>
    <xf numFmtId="0" fontId="3" fillId="3" borderId="2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/>
    </xf>
    <xf numFmtId="0" fontId="3" fillId="4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terms" TargetMode="External"/><Relationship Id="rId1" Type="http://schemas.openxmlformats.org/officeDocument/2006/relationships/hyperlink" Target="https://www.fencingtim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terms" TargetMode="External"/><Relationship Id="rId1" Type="http://schemas.openxmlformats.org/officeDocument/2006/relationships/hyperlink" Target="https://www.fencingtim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terms" TargetMode="External"/><Relationship Id="rId1" Type="http://schemas.openxmlformats.org/officeDocument/2006/relationships/hyperlink" Target="https://www.fencingtime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terms" TargetMode="External"/><Relationship Id="rId1" Type="http://schemas.openxmlformats.org/officeDocument/2006/relationships/hyperlink" Target="https://www.fencingtim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terms" TargetMode="External"/><Relationship Id="rId1" Type="http://schemas.openxmlformats.org/officeDocument/2006/relationships/hyperlink" Target="https://www.fencingti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9"/>
  <sheetViews>
    <sheetView tabSelected="1" workbookViewId="0"/>
  </sheetViews>
  <sheetFormatPr baseColWidth="10" defaultColWidth="12.6640625" defaultRowHeight="15.75" customHeight="1"/>
  <sheetData>
    <row r="1" spans="1:12" ht="15.75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I1" s="1" t="s">
        <v>1</v>
      </c>
      <c r="J1" s="1" t="s">
        <v>2</v>
      </c>
      <c r="K1" s="1" t="s">
        <v>3</v>
      </c>
      <c r="L1" s="1" t="s">
        <v>4</v>
      </c>
    </row>
    <row r="2" spans="1:12" ht="15.75" customHeight="1">
      <c r="A2" s="3"/>
      <c r="B2" s="3"/>
      <c r="C2" s="3"/>
      <c r="D2" s="3"/>
      <c r="E2" s="3"/>
      <c r="F2" s="3"/>
      <c r="H2" s="1">
        <v>1</v>
      </c>
      <c r="I2" s="1" t="str">
        <f t="shared" ref="I2:I17" ca="1" si="0">INDIRECT("A" &amp; (3 + ($H2-1)*4))</f>
        <v>(1) LARRAZABAL ALEXA
NTP / PHI</v>
      </c>
      <c r="J2" s="1" t="str">
        <f t="shared" ref="J2:J17" ca="1" si="1">INDIRECT("A" &amp; (5 + ($H2-1)*4))</f>
        <v>(32) TRINIDAD SOLANA MAYUMI
EZKRIMA / PHI</v>
      </c>
      <c r="K2" s="1" t="str">
        <f t="shared" ref="K2:K17" ca="1" si="2">INDIRECT("B" &amp; (4 + ($H2-1)*4))</f>
        <v>(1) LARRAZABAL ALEXA</v>
      </c>
      <c r="L2" s="1" t="str">
        <f t="shared" ref="L2:L17" ca="1" si="3">INDIRECT("B" &amp; (5 + ($H2-1)*4))</f>
        <v>15 - 5</v>
      </c>
    </row>
    <row r="3" spans="1:12" ht="15.75" customHeight="1">
      <c r="A3" s="4" t="s">
        <v>10</v>
      </c>
      <c r="B3" s="3"/>
      <c r="C3" s="3"/>
      <c r="D3" s="3"/>
      <c r="E3" s="3"/>
      <c r="F3" s="3"/>
      <c r="H3" s="1">
        <v>2</v>
      </c>
      <c r="I3" s="1" t="str">
        <f t="shared" ca="1" si="0"/>
        <v>(17) MANAOIS IRISH
UE / PHI</v>
      </c>
      <c r="J3" s="1" t="str">
        <f t="shared" ca="1" si="1"/>
        <v>(16) ONG JICKLE CLAIN
CF / PHI</v>
      </c>
      <c r="K3" s="1" t="str">
        <f t="shared" ca="1" si="2"/>
        <v>(16) ONG JICKLE CLAIN</v>
      </c>
      <c r="L3" s="1" t="str">
        <f t="shared" ca="1" si="3"/>
        <v>15 - 8</v>
      </c>
    </row>
    <row r="4" spans="1:12" ht="15.75" customHeight="1">
      <c r="A4" s="5"/>
      <c r="B4" s="4" t="s">
        <v>11</v>
      </c>
      <c r="C4" s="3"/>
      <c r="D4" s="3"/>
      <c r="E4" s="3"/>
      <c r="F4" s="3"/>
      <c r="H4" s="1">
        <v>3</v>
      </c>
      <c r="I4" s="1" t="str">
        <f t="shared" ca="1" si="0"/>
        <v>(9) VILLAPANDO JHOLAN
DLSU / PHI</v>
      </c>
      <c r="J4" s="1" t="str">
        <f t="shared" ca="1" si="1"/>
        <v>(24) BERNABE FRANCESCA BETTINA
ADMU / PHI</v>
      </c>
      <c r="K4" s="1" t="str">
        <f t="shared" ca="1" si="2"/>
        <v>(9) BERNABE FRANCESCA BETTINA</v>
      </c>
      <c r="L4" s="1" t="str">
        <f t="shared" ca="1" si="3"/>
        <v>15 - 13</v>
      </c>
    </row>
    <row r="5" spans="1:12" ht="15.75" customHeight="1">
      <c r="A5" s="6" t="s">
        <v>12</v>
      </c>
      <c r="B5" s="5" t="s">
        <v>13</v>
      </c>
      <c r="C5" s="3"/>
      <c r="D5" s="3"/>
      <c r="E5" s="3"/>
      <c r="F5" s="3"/>
      <c r="H5" s="1">
        <v>4</v>
      </c>
      <c r="I5" s="1" t="str">
        <f t="shared" ca="1" si="0"/>
        <v>(25) JIMENEZ JULIANNA
UE / PHI</v>
      </c>
      <c r="J5" s="1" t="str">
        <f t="shared" ca="1" si="1"/>
        <v>(8) DINOY IVY CLAIRE
MP / PHI</v>
      </c>
      <c r="K5" s="1" t="str">
        <f t="shared" ca="1" si="2"/>
        <v>(8) DINOY IVY CLAIRE</v>
      </c>
      <c r="L5" s="1" t="str">
        <f t="shared" ca="1" si="3"/>
        <v>15 - 5</v>
      </c>
    </row>
    <row r="6" spans="1:12" ht="15.75" customHeight="1">
      <c r="A6" s="7"/>
      <c r="B6" s="8"/>
      <c r="C6" s="4" t="s">
        <v>11</v>
      </c>
      <c r="D6" s="3"/>
      <c r="E6" s="3"/>
      <c r="F6" s="3"/>
      <c r="H6" s="1">
        <v>5</v>
      </c>
      <c r="I6" s="1" t="str">
        <f t="shared" ca="1" si="0"/>
        <v>(5) VERGARA CYRRA
DLSU / PHI</v>
      </c>
      <c r="J6" s="1" t="str">
        <f t="shared" ca="1" si="1"/>
        <v>(28) FELICIANO SUMMER LUCINE
AF / PHI</v>
      </c>
      <c r="K6" s="1" t="str">
        <f t="shared" ca="1" si="2"/>
        <v>(5) VERGARA CYRRA</v>
      </c>
      <c r="L6" s="1" t="str">
        <f t="shared" ca="1" si="3"/>
        <v>15 - 8</v>
      </c>
    </row>
    <row r="7" spans="1:12" ht="15.75" customHeight="1">
      <c r="A7" s="4" t="s">
        <v>14</v>
      </c>
      <c r="B7" s="8"/>
      <c r="C7" s="5" t="s">
        <v>15</v>
      </c>
      <c r="D7" s="3"/>
      <c r="E7" s="3"/>
      <c r="F7" s="3"/>
      <c r="H7" s="1">
        <v>6</v>
      </c>
      <c r="I7" s="1" t="str">
        <f t="shared" ca="1" si="0"/>
        <v>(21) BELEN FRANCES CAMILLE
UP / PHI</v>
      </c>
      <c r="J7" s="1" t="str">
        <f t="shared" ca="1" si="1"/>
        <v>(12) MENDOZA JENNINA
UP / PHI</v>
      </c>
      <c r="K7" s="1" t="str">
        <f t="shared" ca="1" si="2"/>
        <v>(12) MENDOZA JENNINA</v>
      </c>
      <c r="L7" s="1" t="str">
        <f t="shared" ca="1" si="3"/>
        <v>15 - 2</v>
      </c>
    </row>
    <row r="8" spans="1:12" ht="15.75" customHeight="1">
      <c r="A8" s="5"/>
      <c r="B8" s="6" t="s">
        <v>16</v>
      </c>
      <c r="C8" s="8"/>
      <c r="D8" s="3"/>
      <c r="E8" s="3"/>
      <c r="F8" s="3"/>
      <c r="H8" s="1">
        <v>7</v>
      </c>
      <c r="I8" s="1" t="str">
        <f t="shared" ca="1" si="0"/>
        <v>(13) SALVADOR IVANA
CF / PHI</v>
      </c>
      <c r="J8" s="1" t="str">
        <f t="shared" ca="1" si="1"/>
        <v>(20) NORO NAMI
UP / PHI</v>
      </c>
      <c r="K8" s="1" t="str">
        <f t="shared" ca="1" si="2"/>
        <v>(13) NORO NAMI</v>
      </c>
      <c r="L8" s="1" t="str">
        <f t="shared" ca="1" si="3"/>
        <v>15 - 8</v>
      </c>
    </row>
    <row r="9" spans="1:12" ht="15.75" customHeight="1">
      <c r="A9" s="6" t="s">
        <v>17</v>
      </c>
      <c r="B9" s="7" t="s">
        <v>18</v>
      </c>
      <c r="C9" s="8"/>
      <c r="D9" s="3"/>
      <c r="E9" s="3"/>
      <c r="F9" s="3"/>
      <c r="H9" s="1">
        <v>8</v>
      </c>
      <c r="I9" s="1" t="str">
        <f t="shared" ca="1" si="0"/>
        <v>(29) RAFAEL GAY MARIE
RF / PHI</v>
      </c>
      <c r="J9" s="1" t="str">
        <f t="shared" ca="1" si="1"/>
        <v>(4) BALLESTEROS JULIANNA
UP / PHI</v>
      </c>
      <c r="K9" s="1" t="str">
        <f t="shared" ca="1" si="2"/>
        <v>(4) BALLESTEROS JULIANNA</v>
      </c>
      <c r="L9" s="1" t="str">
        <f t="shared" ca="1" si="3"/>
        <v>15 - 9</v>
      </c>
    </row>
    <row r="10" spans="1:12" ht="15.75" customHeight="1">
      <c r="A10" s="7"/>
      <c r="B10" s="3"/>
      <c r="C10" s="8"/>
      <c r="D10" s="4" t="s">
        <v>11</v>
      </c>
      <c r="E10" s="3"/>
      <c r="F10" s="3"/>
      <c r="H10" s="1">
        <v>9</v>
      </c>
      <c r="I10" s="1" t="str">
        <f t="shared" ca="1" si="0"/>
        <v>(3) CANLAS NINA DOMINIQUE
UE / PHI</v>
      </c>
      <c r="J10" s="1" t="str">
        <f t="shared" ca="1" si="1"/>
        <v>(30) UY JANA ANNIKA
CF / PHI</v>
      </c>
      <c r="K10" s="1" t="str">
        <f t="shared" ca="1" si="2"/>
        <v>(3) CANLAS NINA DOMINIQUE</v>
      </c>
      <c r="L10" s="1" t="str">
        <f t="shared" ca="1" si="3"/>
        <v>15 - 12</v>
      </c>
    </row>
    <row r="11" spans="1:12" ht="15.75" customHeight="1">
      <c r="A11" s="4" t="s">
        <v>19</v>
      </c>
      <c r="B11" s="3"/>
      <c r="C11" s="8"/>
      <c r="D11" s="5" t="s">
        <v>20</v>
      </c>
      <c r="E11" s="3"/>
      <c r="F11" s="3"/>
      <c r="H11" s="1">
        <v>10</v>
      </c>
      <c r="I11" s="1" t="str">
        <f t="shared" ca="1" si="0"/>
        <v>(19) RAGOT MIKAELA NICOLE
UE / PHI</v>
      </c>
      <c r="J11" s="1" t="str">
        <f t="shared" ca="1" si="1"/>
        <v>(14) GOMEZ JULIANA MA. BEATRICE
MP / PHI</v>
      </c>
      <c r="K11" s="1" t="str">
        <f t="shared" ca="1" si="2"/>
        <v>(14) GOMEZ JULIANA MA. BEATRICE</v>
      </c>
      <c r="L11" s="1" t="str">
        <f t="shared" ca="1" si="3"/>
        <v>15 - 7</v>
      </c>
    </row>
    <row r="12" spans="1:12" ht="15.75" customHeight="1">
      <c r="A12" s="5"/>
      <c r="B12" s="4" t="s">
        <v>21</v>
      </c>
      <c r="C12" s="8"/>
      <c r="D12" s="8"/>
      <c r="E12" s="3"/>
      <c r="F12" s="3"/>
      <c r="H12" s="1">
        <v>11</v>
      </c>
      <c r="I12" s="1" t="str">
        <f t="shared" ca="1" si="0"/>
        <v>(11) BUSTOS MICKYLE REIN
RF / PHI</v>
      </c>
      <c r="J12" s="1" t="str">
        <f t="shared" ca="1" si="1"/>
        <v>(22) EDNILAG KRUPS KAYA
DLSU / PHI</v>
      </c>
      <c r="K12" s="1" t="str">
        <f t="shared" ca="1" si="2"/>
        <v>(11) BUSTOS MICKYLE REIN</v>
      </c>
      <c r="L12" s="1" t="str">
        <f t="shared" ca="1" si="3"/>
        <v>15 - 11</v>
      </c>
    </row>
    <row r="13" spans="1:12" ht="15.75" customHeight="1">
      <c r="A13" s="6" t="s">
        <v>22</v>
      </c>
      <c r="B13" s="5" t="s">
        <v>23</v>
      </c>
      <c r="C13" s="8"/>
      <c r="D13" s="8"/>
      <c r="E13" s="3"/>
      <c r="F13" s="3"/>
      <c r="H13" s="1">
        <v>12</v>
      </c>
      <c r="I13" s="1" t="str">
        <f t="shared" ca="1" si="0"/>
        <v>(27) TORRE PAPINA MARGUERITE
AF / PHI</v>
      </c>
      <c r="J13" s="1" t="str">
        <f t="shared" ca="1" si="1"/>
        <v>(6) MATIAS ANDREA JENNELLE
UE / PHI</v>
      </c>
      <c r="K13" s="1" t="str">
        <f t="shared" ca="1" si="2"/>
        <v>(6) MATIAS ANDREA JENNELLE</v>
      </c>
      <c r="L13" s="1" t="str">
        <f t="shared" ca="1" si="3"/>
        <v>15 - 10</v>
      </c>
    </row>
    <row r="14" spans="1:12" ht="15.75" customHeight="1">
      <c r="A14" s="7"/>
      <c r="B14" s="8"/>
      <c r="C14" s="6" t="s">
        <v>24</v>
      </c>
      <c r="D14" s="8"/>
      <c r="E14" s="3"/>
      <c r="F14" s="3"/>
      <c r="H14" s="1">
        <v>13</v>
      </c>
      <c r="I14" s="1" t="str">
        <f t="shared" ca="1" si="0"/>
        <v>(7) HARRISON ASHLEY MAE MICHELLE
NTP / PHI</v>
      </c>
      <c r="J14" s="1" t="str">
        <f t="shared" ca="1" si="1"/>
        <v>(26) JUNIA ELEINA MARGUERITE
AF / PHI</v>
      </c>
      <c r="K14" s="1" t="str">
        <f t="shared" ca="1" si="2"/>
        <v>(7) HARRISON ASHLEY MAE MICHELLE</v>
      </c>
      <c r="L14" s="1" t="str">
        <f t="shared" ca="1" si="3"/>
        <v>15 - 8</v>
      </c>
    </row>
    <row r="15" spans="1:12" ht="15.75" customHeight="1">
      <c r="A15" s="4" t="s">
        <v>25</v>
      </c>
      <c r="B15" s="8"/>
      <c r="C15" s="7" t="s">
        <v>26</v>
      </c>
      <c r="D15" s="8"/>
      <c r="E15" s="3"/>
      <c r="F15" s="3"/>
      <c r="H15" s="1">
        <v>14</v>
      </c>
      <c r="I15" s="1" t="str">
        <f t="shared" ca="1" si="0"/>
        <v>(23) TAPALES ENDIRAJ MARGARET
UP / PHI</v>
      </c>
      <c r="J15" s="1" t="str">
        <f t="shared" ca="1" si="1"/>
        <v>(10) SCHOFIELD CYRYLLE ANNE
UE / PHI</v>
      </c>
      <c r="K15" s="1" t="str">
        <f t="shared" ca="1" si="2"/>
        <v>(10) TAPALES ENDIRAJ MARGARET</v>
      </c>
      <c r="L15" s="1" t="str">
        <f t="shared" ca="1" si="3"/>
        <v>15 - 8</v>
      </c>
    </row>
    <row r="16" spans="1:12" ht="15.75" customHeight="1">
      <c r="A16" s="5"/>
      <c r="B16" s="6" t="s">
        <v>24</v>
      </c>
      <c r="C16" s="3"/>
      <c r="D16" s="8"/>
      <c r="E16" s="3"/>
      <c r="F16" s="3"/>
      <c r="H16" s="1">
        <v>15</v>
      </c>
      <c r="I16" s="1" t="str">
        <f t="shared" ca="1" si="0"/>
        <v>(15) DEL ROSARIO SARINA KELLY
RF / PHI</v>
      </c>
      <c r="J16" s="1" t="str">
        <f t="shared" ca="1" si="1"/>
        <v>(18) DELOS SANTOS JAYMI
NTP / PHI</v>
      </c>
      <c r="K16" s="1" t="str">
        <f t="shared" ca="1" si="2"/>
        <v>(15) DELOS SANTOS JAYMI</v>
      </c>
      <c r="L16" s="1" t="str">
        <f t="shared" ca="1" si="3"/>
        <v>15 - 4</v>
      </c>
    </row>
    <row r="17" spans="1:12" ht="15.75" customHeight="1">
      <c r="A17" s="6" t="s">
        <v>27</v>
      </c>
      <c r="B17" s="7" t="s">
        <v>13</v>
      </c>
      <c r="C17" s="3"/>
      <c r="D17" s="8"/>
      <c r="E17" s="3"/>
      <c r="F17" s="3"/>
      <c r="H17" s="1">
        <v>16</v>
      </c>
      <c r="I17" s="1" t="str">
        <f t="shared" ca="1" si="0"/>
        <v>(31) RAFAEL RANA IMOGEN
ADMU / PHI</v>
      </c>
      <c r="J17" s="1" t="str">
        <f t="shared" ca="1" si="1"/>
        <v>(2) ABELLA HANNIEL
NTP / PHI</v>
      </c>
      <c r="K17" s="1" t="str">
        <f t="shared" ca="1" si="2"/>
        <v>(2) ABELLA HANNIEL</v>
      </c>
      <c r="L17" s="1" t="str">
        <f t="shared" ca="1" si="3"/>
        <v>15 - 5</v>
      </c>
    </row>
    <row r="18" spans="1:12" ht="15.75" customHeight="1">
      <c r="A18" s="7"/>
      <c r="B18" s="3"/>
      <c r="C18" s="3"/>
      <c r="D18" s="8"/>
      <c r="E18" s="4" t="s">
        <v>11</v>
      </c>
      <c r="F18" s="3"/>
      <c r="H18" s="1">
        <v>1</v>
      </c>
      <c r="I18" s="1" t="str">
        <f t="shared" ref="I18:I25" ca="1" si="4">INDIRECT("B" &amp; (4 + ($H18-1)*4))</f>
        <v>(1) LARRAZABAL ALEXA</v>
      </c>
      <c r="J18" s="1" t="str">
        <f t="shared" ref="J18:J25" ca="1" si="5">INDIRECT("B" &amp; (8 + ($H18-1)*4))</f>
        <v>(16) ONG JICKLE CLAIN</v>
      </c>
      <c r="K18" s="1" t="str">
        <f t="shared" ref="K18:K25" ca="1" si="6">INDIRECT("C" &amp; (6 + ($H18-1)*4))</f>
        <v>(1) LARRAZABAL ALEXA</v>
      </c>
      <c r="L18" s="1" t="str">
        <f t="shared" ref="L18:L25" ca="1" si="7">INDIRECT("C" &amp; (7 + ($H18-1)*4))</f>
        <v>15 - 9
12:17 PM</v>
      </c>
    </row>
    <row r="19" spans="1:12" ht="15.75" customHeight="1">
      <c r="A19" s="9" t="s">
        <v>28</v>
      </c>
      <c r="B19" s="10"/>
      <c r="C19" s="10"/>
      <c r="D19" s="11"/>
      <c r="E19" s="12" t="s">
        <v>29</v>
      </c>
      <c r="F19" s="10"/>
      <c r="H19" s="1">
        <v>3</v>
      </c>
      <c r="I19" s="1" t="str">
        <f t="shared" ca="1" si="4"/>
        <v>(9) BERNABE FRANCESCA BETTINA</v>
      </c>
      <c r="J19" s="1" t="str">
        <f t="shared" ca="1" si="5"/>
        <v>(8) DINOY IVY CLAIRE</v>
      </c>
      <c r="K19" s="1" t="str">
        <f t="shared" ca="1" si="6"/>
        <v>(8) DINOY IVY CLAIRE</v>
      </c>
      <c r="L19" s="1" t="str">
        <f t="shared" ca="1" si="7"/>
        <v>15 - 8
12:20 PM</v>
      </c>
    </row>
    <row r="20" spans="1:12" ht="15.75" customHeight="1">
      <c r="A20" s="12"/>
      <c r="B20" s="9" t="s">
        <v>30</v>
      </c>
      <c r="C20" s="10"/>
      <c r="D20" s="11"/>
      <c r="E20" s="11"/>
      <c r="F20" s="10"/>
      <c r="H20" s="1">
        <v>5</v>
      </c>
      <c r="I20" s="1" t="str">
        <f t="shared" ca="1" si="4"/>
        <v>(5) VERGARA CYRRA</v>
      </c>
      <c r="J20" s="1" t="str">
        <f t="shared" ca="1" si="5"/>
        <v>(12) MENDOZA JENNINA</v>
      </c>
      <c r="K20" s="1" t="str">
        <f t="shared" ca="1" si="6"/>
        <v>(5) MENDOZA JENNINA</v>
      </c>
      <c r="L20" s="1" t="str">
        <f t="shared" ca="1" si="7"/>
        <v>15 - 11
12:14 PM</v>
      </c>
    </row>
    <row r="21" spans="1:12" ht="15.75" customHeight="1">
      <c r="A21" s="13" t="s">
        <v>31</v>
      </c>
      <c r="B21" s="12" t="s">
        <v>18</v>
      </c>
      <c r="C21" s="10"/>
      <c r="D21" s="11"/>
      <c r="E21" s="11"/>
      <c r="F21" s="10"/>
      <c r="H21" s="1">
        <v>7</v>
      </c>
      <c r="I21" s="1" t="str">
        <f t="shared" ca="1" si="4"/>
        <v>(13) NORO NAMI</v>
      </c>
      <c r="J21" s="1" t="str">
        <f t="shared" ca="1" si="5"/>
        <v>(4) BALLESTEROS JULIANNA</v>
      </c>
      <c r="K21" s="1" t="str">
        <f t="shared" ca="1" si="6"/>
        <v>(4) BALLESTEROS JULIANNA</v>
      </c>
      <c r="L21" s="1" t="str">
        <f t="shared" ca="1" si="7"/>
        <v>15 - 13
12:22 PM</v>
      </c>
    </row>
    <row r="22" spans="1:12" ht="15.75" customHeight="1">
      <c r="A22" s="14"/>
      <c r="B22" s="11"/>
      <c r="C22" s="9" t="s">
        <v>32</v>
      </c>
      <c r="D22" s="11"/>
      <c r="E22" s="11"/>
      <c r="F22" s="10"/>
      <c r="H22" s="1">
        <v>9</v>
      </c>
      <c r="I22" s="1" t="str">
        <f t="shared" ca="1" si="4"/>
        <v>(3) CANLAS NINA DOMINIQUE</v>
      </c>
      <c r="J22" s="1" t="str">
        <f t="shared" ca="1" si="5"/>
        <v>(14) GOMEZ JULIANA MA. BEATRICE</v>
      </c>
      <c r="K22" s="1" t="str">
        <f t="shared" ca="1" si="6"/>
        <v>(3) GOMEZ JULIANA MA. BEATRICE</v>
      </c>
      <c r="L22" s="1" t="str">
        <f t="shared" ca="1" si="7"/>
        <v>15 - 14
12:32 PM</v>
      </c>
    </row>
    <row r="23" spans="1:12" ht="15.75" customHeight="1">
      <c r="A23" s="9" t="s">
        <v>33</v>
      </c>
      <c r="B23" s="11"/>
      <c r="C23" s="12" t="s">
        <v>34</v>
      </c>
      <c r="D23" s="11"/>
      <c r="E23" s="11"/>
      <c r="F23" s="10"/>
      <c r="H23" s="1">
        <v>11</v>
      </c>
      <c r="I23" s="1" t="str">
        <f t="shared" ca="1" si="4"/>
        <v>(11) BUSTOS MICKYLE REIN</v>
      </c>
      <c r="J23" s="1" t="str">
        <f t="shared" ca="1" si="5"/>
        <v>(6) MATIAS ANDREA JENNELLE</v>
      </c>
      <c r="K23" s="1" t="str">
        <f t="shared" ca="1" si="6"/>
        <v>(6) MATIAS ANDREA JENNELLE</v>
      </c>
      <c r="L23" s="1" t="str">
        <f t="shared" ca="1" si="7"/>
        <v>15 - 10
12:33 PM</v>
      </c>
    </row>
    <row r="24" spans="1:12" ht="15.75" customHeight="1">
      <c r="A24" s="12"/>
      <c r="B24" s="13" t="s">
        <v>35</v>
      </c>
      <c r="C24" s="11"/>
      <c r="D24" s="11"/>
      <c r="E24" s="11"/>
      <c r="F24" s="10"/>
      <c r="H24" s="1">
        <v>13</v>
      </c>
      <c r="I24" s="1" t="str">
        <f t="shared" ca="1" si="4"/>
        <v>(7) HARRISON ASHLEY MAE MICHELLE</v>
      </c>
      <c r="J24" s="1" t="str">
        <f t="shared" ca="1" si="5"/>
        <v>(10) TAPALES ENDIRAJ MARGARET</v>
      </c>
      <c r="K24" s="1" t="str">
        <f t="shared" ca="1" si="6"/>
        <v>(7) HARRISON ASHLEY MAE MICHELLE</v>
      </c>
      <c r="L24" s="1" t="str">
        <f t="shared" ca="1" si="7"/>
        <v>14 - 11
12:36 PM</v>
      </c>
    </row>
    <row r="25" spans="1:12" ht="15.75" customHeight="1">
      <c r="A25" s="13" t="s">
        <v>36</v>
      </c>
      <c r="B25" s="14" t="s">
        <v>37</v>
      </c>
      <c r="C25" s="11"/>
      <c r="D25" s="11"/>
      <c r="E25" s="11"/>
      <c r="F25" s="10"/>
      <c r="H25" s="1">
        <v>15</v>
      </c>
      <c r="I25" s="1" t="str">
        <f t="shared" ca="1" si="4"/>
        <v>(15) DELOS SANTOS JAYMI</v>
      </c>
      <c r="J25" s="1" t="str">
        <f t="shared" ca="1" si="5"/>
        <v>(2) ABELLA HANNIEL</v>
      </c>
      <c r="K25" s="1" t="str">
        <f t="shared" ca="1" si="6"/>
        <v>(2) DELOS SANTOS JAYMI</v>
      </c>
      <c r="L25" s="1" t="str">
        <f t="shared" ca="1" si="7"/>
        <v>15 - 10
12:32 PM</v>
      </c>
    </row>
    <row r="26" spans="1:12" ht="15.75" customHeight="1">
      <c r="A26" s="14"/>
      <c r="B26" s="10"/>
      <c r="C26" s="11"/>
      <c r="D26" s="13" t="s">
        <v>38</v>
      </c>
      <c r="E26" s="11"/>
      <c r="F26" s="10"/>
      <c r="H26" s="1">
        <v>1</v>
      </c>
      <c r="I26" s="1" t="str">
        <f t="shared" ref="I26:I29" ca="1" si="8">INDIRECT("C" &amp; (6 + ($H26-1)*4))</f>
        <v>(1) LARRAZABAL ALEXA</v>
      </c>
      <c r="J26" s="1" t="str">
        <f t="shared" ref="J26:J29" ca="1" si="9">INDIRECT("C" &amp; (14 + ($H26-1)*4))</f>
        <v>(8) DINOY IVY CLAIRE</v>
      </c>
      <c r="K26" s="1" t="str">
        <f t="shared" ref="K26:K29" ca="1" si="10">INDIRECT("D" &amp; (10 + ($H26-1)*4))</f>
        <v>(1) LARRAZABAL ALEXA</v>
      </c>
      <c r="L26" s="1" t="str">
        <f t="shared" ref="L26:L29" ca="1" si="11">INDIRECT("D" &amp; (11 + ($H26-1)*4))</f>
        <v>15 - 12
12:56 PM</v>
      </c>
    </row>
    <row r="27" spans="1:12" ht="15.75" customHeight="1">
      <c r="A27" s="9" t="s">
        <v>39</v>
      </c>
      <c r="B27" s="10"/>
      <c r="C27" s="11"/>
      <c r="D27" s="14" t="s">
        <v>40</v>
      </c>
      <c r="E27" s="11"/>
      <c r="F27" s="10"/>
      <c r="H27" s="1">
        <v>5</v>
      </c>
      <c r="I27" s="1" t="str">
        <f t="shared" ca="1" si="8"/>
        <v>(5) MENDOZA JENNINA</v>
      </c>
      <c r="J27" s="1" t="str">
        <f t="shared" ca="1" si="9"/>
        <v>(4) BALLESTEROS JULIANNA</v>
      </c>
      <c r="K27" s="1" t="str">
        <f t="shared" ca="1" si="10"/>
        <v>(4) MENDOZA JENNINA</v>
      </c>
      <c r="L27" s="1" t="str">
        <f t="shared" ca="1" si="11"/>
        <v>15 - 9
12:57 PM</v>
      </c>
    </row>
    <row r="28" spans="1:12" ht="15.75" customHeight="1">
      <c r="A28" s="12"/>
      <c r="B28" s="9" t="s">
        <v>41</v>
      </c>
      <c r="C28" s="11"/>
      <c r="D28" s="10"/>
      <c r="E28" s="11"/>
      <c r="F28" s="10"/>
      <c r="H28" s="1">
        <v>9</v>
      </c>
      <c r="I28" s="1" t="str">
        <f t="shared" ca="1" si="8"/>
        <v>(3) GOMEZ JULIANA MA. BEATRICE</v>
      </c>
      <c r="J28" s="1" t="str">
        <f t="shared" ca="1" si="9"/>
        <v>(6) MATIAS ANDREA JENNELLE</v>
      </c>
      <c r="K28" s="1" t="str">
        <f t="shared" ca="1" si="10"/>
        <v>(3) GOMEZ JULIANA MA. BEATRICE</v>
      </c>
      <c r="L28" s="1" t="str">
        <f t="shared" ca="1" si="11"/>
        <v>15 - 11
1:05 PM</v>
      </c>
    </row>
    <row r="29" spans="1:12" ht="15.75" customHeight="1">
      <c r="A29" s="13" t="s">
        <v>42</v>
      </c>
      <c r="B29" s="12" t="s">
        <v>18</v>
      </c>
      <c r="C29" s="11"/>
      <c r="D29" s="10"/>
      <c r="E29" s="11"/>
      <c r="F29" s="10"/>
      <c r="H29" s="1">
        <v>13</v>
      </c>
      <c r="I29" s="1" t="str">
        <f t="shared" ca="1" si="8"/>
        <v>(7) HARRISON ASHLEY MAE MICHELLE</v>
      </c>
      <c r="J29" s="1" t="str">
        <f t="shared" ca="1" si="9"/>
        <v>(2) DELOS SANTOS JAYMI</v>
      </c>
      <c r="K29" s="1" t="str">
        <f t="shared" ca="1" si="10"/>
        <v>(2) HARRISON ASHLEY MAE MICHELLE</v>
      </c>
      <c r="L29" s="1" t="str">
        <f t="shared" ca="1" si="11"/>
        <v>15 - 11
1:04 PM</v>
      </c>
    </row>
    <row r="30" spans="1:12" ht="15.75" customHeight="1">
      <c r="A30" s="14"/>
      <c r="B30" s="11"/>
      <c r="C30" s="13" t="s">
        <v>43</v>
      </c>
      <c r="D30" s="10"/>
      <c r="E30" s="11"/>
      <c r="F30" s="10"/>
      <c r="H30" s="1">
        <v>1</v>
      </c>
      <c r="I30" s="1" t="str">
        <f t="shared" ref="I30:I31" ca="1" si="12">INDIRECT("D" &amp; (10 + ($H30-1)*4))</f>
        <v>(1) LARRAZABAL ALEXA</v>
      </c>
      <c r="J30" s="1" t="str">
        <f t="shared" ref="J30:J31" ca="1" si="13">INDIRECT("D" &amp; (26 + ($H30-1)*4))</f>
        <v>(4) MENDOZA JENNINA</v>
      </c>
      <c r="K30" s="1" t="str">
        <f t="shared" ref="K30:K31" ca="1" si="14">INDIRECT("E" &amp; (18 + ($H30-1)*4))</f>
        <v>(1) LARRAZABAL ALEXA</v>
      </c>
      <c r="L30" s="1" t="str">
        <f t="shared" ref="L30:L31" ca="1" si="15">INDIRECT("E" &amp; (19 + ($H30-1)*4))</f>
        <v>15 - 12
1:29 PM</v>
      </c>
    </row>
    <row r="31" spans="1:12" ht="15.75" customHeight="1">
      <c r="A31" s="9" t="s">
        <v>44</v>
      </c>
      <c r="B31" s="11"/>
      <c r="C31" s="14" t="s">
        <v>45</v>
      </c>
      <c r="D31" s="10"/>
      <c r="E31" s="11"/>
      <c r="F31" s="10"/>
      <c r="H31" s="1">
        <v>9</v>
      </c>
      <c r="I31" s="1" t="str">
        <f t="shared" ca="1" si="12"/>
        <v>(3) GOMEZ JULIANA MA. BEATRICE</v>
      </c>
      <c r="J31" s="1" t="str">
        <f t="shared" ca="1" si="13"/>
        <v>(2) HARRISON ASHLEY MAE MICHELLE</v>
      </c>
      <c r="K31" s="1" t="str">
        <f t="shared" ca="1" si="14"/>
        <v>(2) HARRISON ASHLEY MAE MICHELLE</v>
      </c>
      <c r="L31" s="1" t="str">
        <f t="shared" ca="1" si="15"/>
        <v>15 - 13
1:28 PM</v>
      </c>
    </row>
    <row r="32" spans="1:12" ht="15.75" customHeight="1">
      <c r="A32" s="12"/>
      <c r="B32" s="13" t="s">
        <v>43</v>
      </c>
      <c r="C32" s="10"/>
      <c r="D32" s="10"/>
      <c r="E32" s="11"/>
      <c r="F32" s="10"/>
      <c r="H32" s="1">
        <v>1</v>
      </c>
      <c r="I32" s="1" t="str">
        <f t="array" aca="1" ref="I32" ca="1">INDIRECT("E" &amp; (18 + ($H32-1)*4))</f>
        <v>(1) LARRAZABAL ALEXA</v>
      </c>
      <c r="J32" s="1" t="str">
        <f t="array" aca="1" ref="J32" ca="1">INDIRECT("E" &amp; (50 + ($H32-1)*4))</f>
        <v>(2) HARRISON ASHLEY MAE MICHELLE</v>
      </c>
      <c r="K32" s="1" t="str">
        <f t="array" aca="1" ref="K32" ca="1">INDIRECT("F" &amp; (34 + ($H32-1)*4))</f>
        <v>(1) LARRAZABAL ALEXA</v>
      </c>
      <c r="L32" s="1" t="str">
        <f t="array" aca="1" ref="L32" ca="1">INDIRECT("F" &amp; (35 + ($H32-1)*4))</f>
        <v>15 - 13
1:47 PM</v>
      </c>
    </row>
    <row r="33" spans="1:6" ht="15.75" customHeight="1">
      <c r="A33" s="13" t="s">
        <v>46</v>
      </c>
      <c r="B33" s="14" t="s">
        <v>47</v>
      </c>
      <c r="C33" s="10"/>
      <c r="D33" s="10"/>
      <c r="E33" s="11"/>
      <c r="F33" s="10"/>
    </row>
    <row r="34" spans="1:6" ht="15.75" customHeight="1">
      <c r="A34" s="14"/>
      <c r="B34" s="10"/>
      <c r="C34" s="10"/>
      <c r="D34" s="10"/>
      <c r="E34" s="11"/>
      <c r="F34" s="9" t="s">
        <v>11</v>
      </c>
    </row>
    <row r="35" spans="1:6" ht="15.75" customHeight="1">
      <c r="A35" s="4" t="s">
        <v>48</v>
      </c>
      <c r="B35" s="3"/>
      <c r="C35" s="3"/>
      <c r="D35" s="3"/>
      <c r="E35" s="8"/>
      <c r="F35" s="7" t="s">
        <v>49</v>
      </c>
    </row>
    <row r="36" spans="1:6" ht="15.75" customHeight="1">
      <c r="A36" s="5"/>
      <c r="B36" s="4" t="s">
        <v>50</v>
      </c>
      <c r="C36" s="3"/>
      <c r="D36" s="3"/>
      <c r="E36" s="8"/>
      <c r="F36" s="3"/>
    </row>
    <row r="37" spans="1:6" ht="15.75" customHeight="1">
      <c r="A37" s="6" t="s">
        <v>51</v>
      </c>
      <c r="B37" s="5" t="s">
        <v>52</v>
      </c>
      <c r="C37" s="3"/>
      <c r="D37" s="3"/>
      <c r="E37" s="8"/>
      <c r="F37" s="3"/>
    </row>
    <row r="38" spans="1:6" ht="15.75" customHeight="1">
      <c r="A38" s="7"/>
      <c r="B38" s="8"/>
      <c r="C38" s="4" t="s">
        <v>53</v>
      </c>
      <c r="D38" s="3"/>
      <c r="E38" s="8"/>
      <c r="F38" s="3"/>
    </row>
    <row r="39" spans="1:6" ht="15.75" customHeight="1">
      <c r="A39" s="4" t="s">
        <v>54</v>
      </c>
      <c r="B39" s="8"/>
      <c r="C39" s="5" t="s">
        <v>55</v>
      </c>
      <c r="D39" s="3"/>
      <c r="E39" s="8"/>
      <c r="F39" s="3"/>
    </row>
    <row r="40" spans="1:6" ht="15.75" customHeight="1">
      <c r="A40" s="5"/>
      <c r="B40" s="6" t="s">
        <v>56</v>
      </c>
      <c r="C40" s="8"/>
      <c r="D40" s="3"/>
      <c r="E40" s="8"/>
      <c r="F40" s="3"/>
    </row>
    <row r="41" spans="1:6" ht="15.75" customHeight="1">
      <c r="A41" s="6" t="s">
        <v>57</v>
      </c>
      <c r="B41" s="7" t="s">
        <v>58</v>
      </c>
      <c r="C41" s="8"/>
      <c r="D41" s="3"/>
      <c r="E41" s="8"/>
      <c r="F41" s="3"/>
    </row>
    <row r="42" spans="1:6" ht="15.75" customHeight="1">
      <c r="A42" s="7"/>
      <c r="B42" s="3"/>
      <c r="C42" s="8"/>
      <c r="D42" s="4" t="s">
        <v>53</v>
      </c>
      <c r="E42" s="8"/>
      <c r="F42" s="3"/>
    </row>
    <row r="43" spans="1:6" ht="15.75" customHeight="1">
      <c r="A43" s="4" t="s">
        <v>59</v>
      </c>
      <c r="B43" s="3"/>
      <c r="C43" s="8"/>
      <c r="D43" s="5" t="s">
        <v>60</v>
      </c>
      <c r="E43" s="8"/>
      <c r="F43" s="3"/>
    </row>
    <row r="44" spans="1:6" ht="15.75" customHeight="1">
      <c r="A44" s="5"/>
      <c r="B44" s="4" t="s">
        <v>61</v>
      </c>
      <c r="C44" s="8"/>
      <c r="D44" s="8"/>
      <c r="E44" s="8"/>
      <c r="F44" s="3"/>
    </row>
    <row r="45" spans="1:6" ht="15.75" customHeight="1">
      <c r="A45" s="6" t="s">
        <v>62</v>
      </c>
      <c r="B45" s="5" t="s">
        <v>63</v>
      </c>
      <c r="C45" s="8"/>
      <c r="D45" s="8"/>
      <c r="E45" s="8"/>
      <c r="F45" s="3"/>
    </row>
    <row r="46" spans="1:6" ht="15.75" customHeight="1">
      <c r="A46" s="7"/>
      <c r="B46" s="8"/>
      <c r="C46" s="6" t="s">
        <v>64</v>
      </c>
      <c r="D46" s="8"/>
      <c r="E46" s="8"/>
      <c r="F46" s="3"/>
    </row>
    <row r="47" spans="1:6" ht="15.75" customHeight="1">
      <c r="A47" s="4" t="s">
        <v>65</v>
      </c>
      <c r="B47" s="8"/>
      <c r="C47" s="7" t="s">
        <v>66</v>
      </c>
      <c r="D47" s="8"/>
      <c r="E47" s="8"/>
      <c r="F47" s="3"/>
    </row>
    <row r="48" spans="1:6" ht="15.75" customHeight="1">
      <c r="A48" s="5"/>
      <c r="B48" s="6" t="s">
        <v>64</v>
      </c>
      <c r="C48" s="3"/>
      <c r="D48" s="8"/>
      <c r="E48" s="8"/>
      <c r="F48" s="3"/>
    </row>
    <row r="49" spans="1:6" ht="15.75" customHeight="1">
      <c r="A49" s="6" t="s">
        <v>67</v>
      </c>
      <c r="B49" s="7" t="s">
        <v>68</v>
      </c>
      <c r="C49" s="3"/>
      <c r="D49" s="8"/>
      <c r="E49" s="8"/>
      <c r="F49" s="3"/>
    </row>
    <row r="50" spans="1:6" ht="15.75" customHeight="1">
      <c r="A50" s="7"/>
      <c r="B50" s="3"/>
      <c r="C50" s="3"/>
      <c r="D50" s="8"/>
      <c r="E50" s="6" t="s">
        <v>69</v>
      </c>
      <c r="F50" s="3"/>
    </row>
    <row r="51" spans="1:6" ht="15.75" customHeight="1">
      <c r="A51" s="9" t="s">
        <v>70</v>
      </c>
      <c r="B51" s="10"/>
      <c r="C51" s="10"/>
      <c r="D51" s="11"/>
      <c r="E51" s="14" t="s">
        <v>71</v>
      </c>
      <c r="F51" s="10"/>
    </row>
    <row r="52" spans="1:6" ht="15.75" customHeight="1">
      <c r="A52" s="12"/>
      <c r="B52" s="9" t="s">
        <v>72</v>
      </c>
      <c r="C52" s="10"/>
      <c r="D52" s="11"/>
      <c r="E52" s="10"/>
      <c r="F52" s="10"/>
    </row>
    <row r="53" spans="1:6" ht="15.75" customHeight="1">
      <c r="A53" s="13" t="s">
        <v>73</v>
      </c>
      <c r="B53" s="12" t="s">
        <v>18</v>
      </c>
      <c r="C53" s="10"/>
      <c r="D53" s="11"/>
      <c r="E53" s="10"/>
      <c r="F53" s="10"/>
    </row>
    <row r="54" spans="1:6" ht="15.75" customHeight="1">
      <c r="A54" s="14"/>
      <c r="B54" s="11"/>
      <c r="C54" s="9" t="s">
        <v>72</v>
      </c>
      <c r="D54" s="11"/>
      <c r="E54" s="10"/>
      <c r="F54" s="10"/>
    </row>
    <row r="55" spans="1:6" ht="15.75" customHeight="1">
      <c r="A55" s="9" t="s">
        <v>74</v>
      </c>
      <c r="B55" s="11"/>
      <c r="C55" s="12" t="s">
        <v>75</v>
      </c>
      <c r="D55" s="11"/>
      <c r="E55" s="10"/>
      <c r="F55" s="10"/>
    </row>
    <row r="56" spans="1:6" ht="15.75" customHeight="1">
      <c r="A56" s="12"/>
      <c r="B56" s="13" t="s">
        <v>76</v>
      </c>
      <c r="C56" s="11"/>
      <c r="D56" s="11"/>
      <c r="E56" s="10"/>
      <c r="F56" s="10"/>
    </row>
    <row r="57" spans="1:6" ht="15.75" customHeight="1">
      <c r="A57" s="13" t="s">
        <v>77</v>
      </c>
      <c r="B57" s="14" t="s">
        <v>18</v>
      </c>
      <c r="C57" s="11"/>
      <c r="D57" s="11"/>
      <c r="E57" s="10"/>
      <c r="F57" s="10"/>
    </row>
    <row r="58" spans="1:6" ht="15.75" customHeight="1">
      <c r="A58" s="14"/>
      <c r="B58" s="10"/>
      <c r="C58" s="11"/>
      <c r="D58" s="13" t="s">
        <v>69</v>
      </c>
      <c r="E58" s="10"/>
      <c r="F58" s="10"/>
    </row>
    <row r="59" spans="1:6" ht="15.75" customHeight="1">
      <c r="A59" s="9" t="s">
        <v>78</v>
      </c>
      <c r="B59" s="10"/>
      <c r="C59" s="11"/>
      <c r="D59" s="14" t="s">
        <v>79</v>
      </c>
      <c r="E59" s="10"/>
      <c r="F59" s="10"/>
    </row>
    <row r="60" spans="1:6" ht="15.75" customHeight="1">
      <c r="A60" s="12"/>
      <c r="B60" s="9" t="s">
        <v>80</v>
      </c>
      <c r="C60" s="11"/>
      <c r="D60" s="10"/>
      <c r="E60" s="10"/>
      <c r="F60" s="10"/>
    </row>
    <row r="61" spans="1:6" ht="15.75" customHeight="1">
      <c r="A61" s="13" t="s">
        <v>81</v>
      </c>
      <c r="B61" s="12" t="s">
        <v>82</v>
      </c>
      <c r="C61" s="11"/>
      <c r="D61" s="10"/>
      <c r="E61" s="10"/>
      <c r="F61" s="10"/>
    </row>
    <row r="62" spans="1:6" ht="15.75" customHeight="1">
      <c r="A62" s="14"/>
      <c r="B62" s="11"/>
      <c r="C62" s="13" t="s">
        <v>83</v>
      </c>
      <c r="D62" s="10"/>
      <c r="E62" s="10"/>
      <c r="F62" s="10"/>
    </row>
    <row r="63" spans="1:6" ht="15.75" customHeight="1">
      <c r="A63" s="9" t="s">
        <v>84</v>
      </c>
      <c r="B63" s="11"/>
      <c r="C63" s="14" t="s">
        <v>85</v>
      </c>
      <c r="D63" s="10"/>
      <c r="E63" s="10"/>
      <c r="F63" s="10"/>
    </row>
    <row r="64" spans="1:6" ht="13">
      <c r="A64" s="12"/>
      <c r="B64" s="13" t="s">
        <v>86</v>
      </c>
      <c r="C64" s="10"/>
      <c r="D64" s="10"/>
      <c r="E64" s="10"/>
      <c r="F64" s="10"/>
    </row>
    <row r="65" spans="1:6" ht="13">
      <c r="A65" s="13" t="s">
        <v>87</v>
      </c>
      <c r="B65" s="14" t="s">
        <v>13</v>
      </c>
      <c r="C65" s="10"/>
      <c r="D65" s="10"/>
      <c r="E65" s="10"/>
      <c r="F65" s="10"/>
    </row>
    <row r="66" spans="1:6" ht="13">
      <c r="A66" s="14"/>
      <c r="B66" s="10"/>
      <c r="C66" s="10"/>
      <c r="D66" s="10"/>
      <c r="E66" s="10"/>
      <c r="F66" s="10"/>
    </row>
    <row r="67" spans="1:6" ht="13">
      <c r="A67" s="15" t="s">
        <v>88</v>
      </c>
    </row>
    <row r="68" spans="1:6" ht="13">
      <c r="A68" s="16" t="s">
        <v>89</v>
      </c>
    </row>
    <row r="69" spans="1:6" ht="13">
      <c r="A69" s="16" t="s">
        <v>90</v>
      </c>
    </row>
  </sheetData>
  <hyperlinks>
    <hyperlink ref="A68" r:id="rId1" xr:uid="{00000000-0004-0000-0100-000000000000}"/>
    <hyperlink ref="A69" r:id="rId2" xr:uid="{00000000-0004-0000-01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33"/>
  <sheetViews>
    <sheetView workbookViewId="0"/>
  </sheetViews>
  <sheetFormatPr baseColWidth="10" defaultColWidth="12.6640625" defaultRowHeight="15.75" customHeight="1"/>
  <cols>
    <col min="11" max="11" width="18.6640625" customWidth="1"/>
  </cols>
  <sheetData>
    <row r="1" spans="1:12" ht="15.75" customHeight="1">
      <c r="A1" s="2" t="s">
        <v>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/>
      <c r="I1" s="1" t="s">
        <v>1</v>
      </c>
      <c r="J1" s="1" t="s">
        <v>2</v>
      </c>
      <c r="K1" s="1" t="s">
        <v>3</v>
      </c>
      <c r="L1" s="1" t="s">
        <v>4</v>
      </c>
    </row>
    <row r="2" spans="1:12" ht="15.75" customHeight="1">
      <c r="A2" s="3"/>
      <c r="B2" s="3"/>
      <c r="C2" s="3"/>
      <c r="D2" s="3"/>
      <c r="E2" s="3"/>
      <c r="F2" s="3"/>
      <c r="G2" s="3"/>
      <c r="H2" s="1">
        <v>1</v>
      </c>
      <c r="I2" s="1" t="str">
        <f t="shared" ref="I2:I33" ca="1" si="0">INDIRECT("A" &amp; (3 + ($H2-1)*4))</f>
        <v>(1) SEVILLA JULIANA SHANE
MP / PHI</v>
      </c>
      <c r="J2" s="1" t="str">
        <f t="shared" ref="J2:J33" ca="1" si="1">INDIRECT("A" &amp; (5 + ($H2-1)*4))</f>
        <v>(64) - BYE -</v>
      </c>
      <c r="K2" s="1" t="str">
        <f t="shared" ref="K2:K33" ca="1" si="2">INDIRECT("B" &amp; (4 + ($H2-1)*4))</f>
        <v>(1) SEVILLA JULIANA SHANE</v>
      </c>
      <c r="L2" s="1">
        <f t="shared" ref="L2:L33" ca="1" si="3">INDIRECT("B" &amp; (5 + ($H2-1)*4))</f>
        <v>0</v>
      </c>
    </row>
    <row r="3" spans="1:12" ht="15.75" customHeight="1">
      <c r="A3" s="4" t="s">
        <v>92</v>
      </c>
      <c r="B3" s="3"/>
      <c r="C3" s="3"/>
      <c r="D3" s="3"/>
      <c r="E3" s="3"/>
      <c r="F3" s="3"/>
      <c r="G3" s="3"/>
      <c r="H3" s="1">
        <v>2</v>
      </c>
      <c r="I3" s="1" t="str">
        <f t="shared" ca="1" si="0"/>
        <v>(33) SIA SARAH-INGRID AURELIA
RF / PHI</v>
      </c>
      <c r="J3" s="1" t="str">
        <f t="shared" ca="1" si="1"/>
        <v>(32) CAPUNO DAHLIA MAE
USTFT / PHI</v>
      </c>
      <c r="K3" s="1" t="str">
        <f t="shared" ca="1" si="2"/>
        <v>(32) CAPUNO DAHLIA MAE</v>
      </c>
      <c r="L3" s="1" t="str">
        <f t="shared" ca="1" si="3"/>
        <v>15 - 14</v>
      </c>
    </row>
    <row r="4" spans="1:12" ht="15.75" customHeight="1">
      <c r="A4" s="5"/>
      <c r="B4" s="4" t="s">
        <v>93</v>
      </c>
      <c r="C4" s="3"/>
      <c r="D4" s="3"/>
      <c r="E4" s="3"/>
      <c r="F4" s="3"/>
      <c r="G4" s="3"/>
      <c r="H4" s="1">
        <v>3</v>
      </c>
      <c r="I4" s="1" t="str">
        <f t="shared" ca="1" si="0"/>
        <v>(17) DELOS SANTOS JAYMI
NTP / PHI</v>
      </c>
      <c r="J4" s="1" t="str">
        <f t="shared" ca="1" si="1"/>
        <v>(48) - BYE -</v>
      </c>
      <c r="K4" s="1" t="str">
        <f t="shared" ca="1" si="2"/>
        <v>(17) DELOS SANTOS JAYMI</v>
      </c>
      <c r="L4" s="1">
        <f t="shared" ca="1" si="3"/>
        <v>0</v>
      </c>
    </row>
    <row r="5" spans="1:12" ht="15.75" customHeight="1">
      <c r="A5" s="6" t="s">
        <v>94</v>
      </c>
      <c r="B5" s="5"/>
      <c r="C5" s="3"/>
      <c r="D5" s="3"/>
      <c r="E5" s="3"/>
      <c r="F5" s="3"/>
      <c r="G5" s="3"/>
      <c r="H5" s="1">
        <v>4</v>
      </c>
      <c r="I5" s="1" t="str">
        <f t="shared" ca="1" si="0"/>
        <v>(49) - BYE -</v>
      </c>
      <c r="J5" s="1" t="str">
        <f t="shared" ca="1" si="1"/>
        <v>(16) MENDOZA JENNINA
UP / PHI</v>
      </c>
      <c r="K5" s="1" t="str">
        <f t="shared" ca="1" si="2"/>
        <v>(16) MENDOZA JENNINA</v>
      </c>
      <c r="L5" s="1">
        <f t="shared" ca="1" si="3"/>
        <v>0</v>
      </c>
    </row>
    <row r="6" spans="1:12" ht="15.75" customHeight="1">
      <c r="A6" s="7"/>
      <c r="B6" s="8"/>
      <c r="C6" s="4" t="s">
        <v>93</v>
      </c>
      <c r="D6" s="3"/>
      <c r="E6" s="3"/>
      <c r="F6" s="3"/>
      <c r="G6" s="3"/>
      <c r="H6" s="1">
        <v>5</v>
      </c>
      <c r="I6" s="1" t="str">
        <f t="shared" ca="1" si="0"/>
        <v>(9) EDNILAG KRUPS KAYA
DLSU / PHI</v>
      </c>
      <c r="J6" s="1" t="str">
        <f t="shared" ca="1" si="1"/>
        <v>(56) - BYE -</v>
      </c>
      <c r="K6" s="1" t="str">
        <f t="shared" ca="1" si="2"/>
        <v>(9) EDNILAG KRUPS KAYA</v>
      </c>
      <c r="L6" s="1">
        <f t="shared" ca="1" si="3"/>
        <v>0</v>
      </c>
    </row>
    <row r="7" spans="1:12" ht="15.75" customHeight="1">
      <c r="A7" s="4" t="s">
        <v>95</v>
      </c>
      <c r="B7" s="8"/>
      <c r="C7" s="5" t="s">
        <v>96</v>
      </c>
      <c r="D7" s="3"/>
      <c r="E7" s="3"/>
      <c r="F7" s="3"/>
      <c r="G7" s="3"/>
      <c r="H7" s="1">
        <v>6</v>
      </c>
      <c r="I7" s="1" t="str">
        <f t="shared" ca="1" si="0"/>
        <v>(41) - BYE -</v>
      </c>
      <c r="J7" s="1" t="str">
        <f t="shared" ca="1" si="1"/>
        <v>(24) SANDOVAL JUSTA ANDREA
CF / PHI</v>
      </c>
      <c r="K7" s="1" t="str">
        <f t="shared" ca="1" si="2"/>
        <v>(24) SANDOVAL JUSTA ANDREA</v>
      </c>
      <c r="L7" s="1">
        <f t="shared" ca="1" si="3"/>
        <v>0</v>
      </c>
    </row>
    <row r="8" spans="1:12" ht="15.75" customHeight="1">
      <c r="A8" s="5"/>
      <c r="B8" s="6" t="s">
        <v>97</v>
      </c>
      <c r="C8" s="8"/>
      <c r="D8" s="3"/>
      <c r="E8" s="3"/>
      <c r="F8" s="3"/>
      <c r="G8" s="3"/>
      <c r="H8" s="1">
        <v>7</v>
      </c>
      <c r="I8" s="1" t="str">
        <f t="shared" ca="1" si="0"/>
        <v>(25) SALVADOR IVANA
CF / PHI</v>
      </c>
      <c r="J8" s="1" t="str">
        <f t="shared" ca="1" si="1"/>
        <v>(40) - BYE -</v>
      </c>
      <c r="K8" s="1" t="str">
        <f t="shared" ca="1" si="2"/>
        <v>(25) SALVADOR IVANA</v>
      </c>
      <c r="L8" s="1">
        <f t="shared" ca="1" si="3"/>
        <v>0</v>
      </c>
    </row>
    <row r="9" spans="1:12" ht="15.75" customHeight="1">
      <c r="A9" s="6" t="s">
        <v>98</v>
      </c>
      <c r="B9" s="7" t="s">
        <v>99</v>
      </c>
      <c r="C9" s="8"/>
      <c r="D9" s="3"/>
      <c r="E9" s="3"/>
      <c r="F9" s="3"/>
      <c r="G9" s="3"/>
      <c r="H9" s="1">
        <v>8</v>
      </c>
      <c r="I9" s="1" t="str">
        <f t="shared" ca="1" si="0"/>
        <v>(57) - BYE -</v>
      </c>
      <c r="J9" s="1" t="str">
        <f t="shared" ca="1" si="1"/>
        <v>(8) TAPALES ENDIRAJ MARGARET
UP / PHI</v>
      </c>
      <c r="K9" s="1" t="str">
        <f t="shared" ca="1" si="2"/>
        <v>(8) TAPALES ENDIRAJ MARGARET</v>
      </c>
      <c r="L9" s="1">
        <f t="shared" ca="1" si="3"/>
        <v>0</v>
      </c>
    </row>
    <row r="10" spans="1:12" ht="15.75" customHeight="1">
      <c r="A10" s="7"/>
      <c r="B10" s="3"/>
      <c r="C10" s="8"/>
      <c r="D10" s="4" t="s">
        <v>100</v>
      </c>
      <c r="E10" s="3"/>
      <c r="F10" s="3"/>
      <c r="G10" s="3"/>
      <c r="H10" s="1">
        <v>9</v>
      </c>
      <c r="I10" s="1" t="str">
        <f t="shared" ca="1" si="0"/>
        <v>(5) MATIAS ANDREA JENNELLE
UE / PHI</v>
      </c>
      <c r="J10" s="1" t="str">
        <f t="shared" ca="1" si="1"/>
        <v>(60) - BYE -</v>
      </c>
      <c r="K10" s="1" t="str">
        <f t="shared" ca="1" si="2"/>
        <v>(5) MATIAS ANDREA JENNELLE</v>
      </c>
      <c r="L10" s="1">
        <f t="shared" ca="1" si="3"/>
        <v>0</v>
      </c>
    </row>
    <row r="11" spans="1:12" ht="15.75" customHeight="1">
      <c r="A11" s="4" t="s">
        <v>101</v>
      </c>
      <c r="B11" s="3"/>
      <c r="C11" s="8"/>
      <c r="D11" s="5" t="s">
        <v>102</v>
      </c>
      <c r="E11" s="3"/>
      <c r="F11" s="3"/>
      <c r="G11" s="3"/>
      <c r="H11" s="1">
        <v>10</v>
      </c>
      <c r="I11" s="1" t="str">
        <f t="shared" ca="1" si="0"/>
        <v>(37) - BYE -</v>
      </c>
      <c r="J11" s="1" t="str">
        <f t="shared" ca="1" si="1"/>
        <v>(28) TORRE PAPINA MARGUERITE
AF / PHI</v>
      </c>
      <c r="K11" s="1" t="str">
        <f t="shared" ca="1" si="2"/>
        <v>(28) TORRE PAPINA MARGUERITE</v>
      </c>
      <c r="L11" s="1">
        <f t="shared" ca="1" si="3"/>
        <v>0</v>
      </c>
    </row>
    <row r="12" spans="1:12" ht="15.75" customHeight="1">
      <c r="A12" s="5"/>
      <c r="B12" s="4" t="s">
        <v>103</v>
      </c>
      <c r="C12" s="8"/>
      <c r="D12" s="8"/>
      <c r="E12" s="3"/>
      <c r="F12" s="3"/>
      <c r="G12" s="3"/>
      <c r="H12" s="1">
        <v>11</v>
      </c>
      <c r="I12" s="1" t="str">
        <f t="shared" ca="1" si="0"/>
        <v>(21) DELA CRUZ CHIARA MICHAELA
UPFC / PHI</v>
      </c>
      <c r="J12" s="1" t="str">
        <f t="shared" ca="1" si="1"/>
        <v>(44) - BYE -</v>
      </c>
      <c r="K12" s="1" t="str">
        <f t="shared" ca="1" si="2"/>
        <v>(21) DELA CRUZ CHIARA MICHAELA</v>
      </c>
      <c r="L12" s="1">
        <f t="shared" ca="1" si="3"/>
        <v>0</v>
      </c>
    </row>
    <row r="13" spans="1:12" ht="15.75" customHeight="1">
      <c r="A13" s="6" t="s">
        <v>104</v>
      </c>
      <c r="B13" s="5"/>
      <c r="C13" s="8"/>
      <c r="D13" s="8"/>
      <c r="E13" s="3"/>
      <c r="F13" s="3"/>
      <c r="G13" s="3"/>
      <c r="H13" s="1">
        <v>12</v>
      </c>
      <c r="I13" s="1" t="str">
        <f t="shared" ca="1" si="0"/>
        <v>(53) - BYE -</v>
      </c>
      <c r="J13" s="1" t="str">
        <f t="shared" ca="1" si="1"/>
        <v>(12) SCHOFIELD CYRYLLE ANNE
UE / PHI</v>
      </c>
      <c r="K13" s="1" t="str">
        <f t="shared" ca="1" si="2"/>
        <v>(12) SCHOFIELD CYRYLLE ANNE</v>
      </c>
      <c r="L13" s="1">
        <f t="shared" ca="1" si="3"/>
        <v>0</v>
      </c>
    </row>
    <row r="14" spans="1:12" ht="15.75" customHeight="1">
      <c r="A14" s="7"/>
      <c r="B14" s="8"/>
      <c r="C14" s="6" t="s">
        <v>105</v>
      </c>
      <c r="D14" s="8"/>
      <c r="E14" s="3"/>
      <c r="F14" s="3"/>
      <c r="G14" s="3"/>
      <c r="H14" s="1">
        <v>13</v>
      </c>
      <c r="I14" s="1" t="str">
        <f t="shared" ca="1" si="0"/>
        <v>(13) TRINIDAD SOLANA MAYUMI
EZKRIMA / PHI</v>
      </c>
      <c r="J14" s="1" t="str">
        <f t="shared" ca="1" si="1"/>
        <v>(52) - BYE -</v>
      </c>
      <c r="K14" s="1" t="str">
        <f t="shared" ca="1" si="2"/>
        <v>(13) TRINIDAD SOLANA MAYUMI</v>
      </c>
      <c r="L14" s="1">
        <f t="shared" ca="1" si="3"/>
        <v>0</v>
      </c>
    </row>
    <row r="15" spans="1:12" ht="15.75" customHeight="1">
      <c r="A15" s="4" t="s">
        <v>106</v>
      </c>
      <c r="B15" s="8"/>
      <c r="C15" s="7" t="s">
        <v>68</v>
      </c>
      <c r="D15" s="8"/>
      <c r="E15" s="3"/>
      <c r="F15" s="3"/>
      <c r="G15" s="3"/>
      <c r="H15" s="1">
        <v>14</v>
      </c>
      <c r="I15" s="1" t="str">
        <f t="shared" ca="1" si="0"/>
        <v>(45) - BYE -</v>
      </c>
      <c r="J15" s="1" t="str">
        <f t="shared" ca="1" si="1"/>
        <v>(20) RAGOT MIKAELA NICOLE
UE / PHI</v>
      </c>
      <c r="K15" s="1" t="str">
        <f t="shared" ca="1" si="2"/>
        <v>(20) RAGOT MIKAELA NICOLE</v>
      </c>
      <c r="L15" s="1">
        <f t="shared" ca="1" si="3"/>
        <v>0</v>
      </c>
    </row>
    <row r="16" spans="1:12" ht="15.75" customHeight="1">
      <c r="A16" s="5"/>
      <c r="B16" s="6" t="s">
        <v>107</v>
      </c>
      <c r="C16" s="3"/>
      <c r="D16" s="8"/>
      <c r="E16" s="3"/>
      <c r="F16" s="3"/>
      <c r="G16" s="3"/>
      <c r="H16" s="1">
        <v>15</v>
      </c>
      <c r="I16" s="1" t="str">
        <f t="shared" ca="1" si="0"/>
        <v>(29) JUNIA ELEINA MARGUERITE
AF / PHI</v>
      </c>
      <c r="J16" s="1" t="str">
        <f t="shared" ca="1" si="1"/>
        <v>(36) PALO AJ DREYFUS
ADMU / PHI</v>
      </c>
      <c r="K16" s="1" t="str">
        <f t="shared" ca="1" si="2"/>
        <v>(29) JUNIA ELEINA MARGUERITE</v>
      </c>
      <c r="L16" s="1" t="str">
        <f t="shared" ca="1" si="3"/>
        <v>15 - 13</v>
      </c>
    </row>
    <row r="17" spans="1:12" ht="15.75" customHeight="1">
      <c r="A17" s="6" t="s">
        <v>108</v>
      </c>
      <c r="B17" s="7"/>
      <c r="C17" s="3"/>
      <c r="D17" s="8"/>
      <c r="E17" s="3"/>
      <c r="F17" s="3"/>
      <c r="G17" s="3"/>
      <c r="H17" s="1">
        <v>16</v>
      </c>
      <c r="I17" s="1" t="str">
        <f t="shared" ca="1" si="0"/>
        <v>(61) - BYE -</v>
      </c>
      <c r="J17" s="1" t="str">
        <f t="shared" ca="1" si="1"/>
        <v>(4) GOMEZ JULIANA MA. BEATRICE
MP / PHI</v>
      </c>
      <c r="K17" s="1" t="str">
        <f t="shared" ca="1" si="2"/>
        <v>(4) GOMEZ JULIANA MA. BEATRICE</v>
      </c>
      <c r="L17" s="1">
        <f t="shared" ca="1" si="3"/>
        <v>0</v>
      </c>
    </row>
    <row r="18" spans="1:12" ht="15.75" customHeight="1">
      <c r="A18" s="7"/>
      <c r="B18" s="3"/>
      <c r="C18" s="3"/>
      <c r="D18" s="8"/>
      <c r="E18" s="4" t="s">
        <v>109</v>
      </c>
      <c r="F18" s="3"/>
      <c r="G18" s="3"/>
      <c r="H18" s="1">
        <v>17</v>
      </c>
      <c r="I18" s="1" t="str">
        <f t="shared" ca="1" si="0"/>
        <v>(3) ABELLA HANNIEL
NTP / PHI</v>
      </c>
      <c r="J18" s="1" t="str">
        <f t="shared" ca="1" si="1"/>
        <v>(62) - BYE -</v>
      </c>
      <c r="K18" s="1" t="str">
        <f t="shared" ca="1" si="2"/>
        <v>(3) ABELLA HANNIEL</v>
      </c>
      <c r="L18" s="1">
        <f t="shared" ca="1" si="3"/>
        <v>0</v>
      </c>
    </row>
    <row r="19" spans="1:12" ht="15.75" customHeight="1">
      <c r="A19" s="4" t="s">
        <v>110</v>
      </c>
      <c r="B19" s="3"/>
      <c r="C19" s="3"/>
      <c r="D19" s="8"/>
      <c r="E19" s="5" t="s">
        <v>111</v>
      </c>
      <c r="F19" s="3"/>
      <c r="G19" s="3"/>
      <c r="H19" s="1">
        <v>18</v>
      </c>
      <c r="I19" s="1" t="str">
        <f t="shared" ca="1" si="0"/>
        <v>(35) FELICIANO SUMMER LUCINE
AF / PHI</v>
      </c>
      <c r="J19" s="1" t="str">
        <f t="shared" ca="1" si="1"/>
        <v>(30) GEPUELA CATHERINE THERESE
UP / PHI</v>
      </c>
      <c r="K19" s="1" t="str">
        <f t="shared" ca="1" si="2"/>
        <v>(30) GEPUELA CATHERINE THERESE</v>
      </c>
      <c r="L19" s="1" t="str">
        <f t="shared" ca="1" si="3"/>
        <v>11 - 10</v>
      </c>
    </row>
    <row r="20" spans="1:12" ht="15.75" customHeight="1">
      <c r="A20" s="5"/>
      <c r="B20" s="4" t="s">
        <v>112</v>
      </c>
      <c r="C20" s="3"/>
      <c r="D20" s="8"/>
      <c r="E20" s="8"/>
      <c r="F20" s="3"/>
      <c r="G20" s="3"/>
      <c r="H20" s="1">
        <v>19</v>
      </c>
      <c r="I20" s="1" t="str">
        <f t="shared" ca="1" si="0"/>
        <v>(19) FLORES MARIEL ELIANNE
UP / PHI</v>
      </c>
      <c r="J20" s="1" t="str">
        <f t="shared" ca="1" si="1"/>
        <v>(46) - BYE -</v>
      </c>
      <c r="K20" s="1" t="str">
        <f t="shared" ca="1" si="2"/>
        <v>(19) FLORES MARIEL ELIANNE</v>
      </c>
      <c r="L20" s="1">
        <f t="shared" ca="1" si="3"/>
        <v>0</v>
      </c>
    </row>
    <row r="21" spans="1:12" ht="15.75" customHeight="1">
      <c r="A21" s="6" t="s">
        <v>113</v>
      </c>
      <c r="B21" s="5"/>
      <c r="C21" s="3"/>
      <c r="D21" s="8"/>
      <c r="E21" s="8"/>
      <c r="F21" s="3"/>
      <c r="G21" s="3"/>
      <c r="H21" s="1">
        <v>20</v>
      </c>
      <c r="I21" s="1" t="str">
        <f t="shared" ca="1" si="0"/>
        <v>(51) - BYE -</v>
      </c>
      <c r="J21" s="1" t="str">
        <f t="shared" ca="1" si="1"/>
        <v>(14) VILLAPANDO JHOLAN
DLSU / PHI</v>
      </c>
      <c r="K21" s="1" t="str">
        <f t="shared" ca="1" si="2"/>
        <v>(14) VILLAPANDO JHOLAN</v>
      </c>
      <c r="L21" s="1">
        <f t="shared" ca="1" si="3"/>
        <v>0</v>
      </c>
    </row>
    <row r="22" spans="1:12" ht="15.75" customHeight="1">
      <c r="A22" s="7"/>
      <c r="B22" s="8"/>
      <c r="C22" s="4" t="s">
        <v>112</v>
      </c>
      <c r="D22" s="8"/>
      <c r="E22" s="8"/>
      <c r="F22" s="3"/>
      <c r="G22" s="3"/>
      <c r="H22" s="1">
        <v>21</v>
      </c>
      <c r="I22" s="1" t="str">
        <f t="shared" ca="1" si="0"/>
        <v>(11) DINOY IVY CLAIRE
MP / PHI</v>
      </c>
      <c r="J22" s="1" t="str">
        <f t="shared" ca="1" si="1"/>
        <v>(54) - BYE -</v>
      </c>
      <c r="K22" s="1" t="str">
        <f t="shared" ca="1" si="2"/>
        <v>(11) DINOY IVY CLAIRE</v>
      </c>
      <c r="L22" s="1">
        <f t="shared" ca="1" si="3"/>
        <v>0</v>
      </c>
    </row>
    <row r="23" spans="1:12" ht="15.75" customHeight="1">
      <c r="A23" s="4" t="s">
        <v>114</v>
      </c>
      <c r="B23" s="8"/>
      <c r="C23" s="5" t="s">
        <v>63</v>
      </c>
      <c r="D23" s="8"/>
      <c r="E23" s="8"/>
      <c r="F23" s="3"/>
      <c r="G23" s="3"/>
      <c r="H23" s="1">
        <v>22</v>
      </c>
      <c r="I23" s="1" t="str">
        <f t="shared" ca="1" si="0"/>
        <v>(43) - BYE -</v>
      </c>
      <c r="J23" s="1" t="str">
        <f t="shared" ca="1" si="1"/>
        <v>(22) NORO NAMI
UP / PHI</v>
      </c>
      <c r="K23" s="1" t="str">
        <f t="shared" ca="1" si="2"/>
        <v>(22) NORO NAMI</v>
      </c>
      <c r="L23" s="1">
        <f t="shared" ca="1" si="3"/>
        <v>0</v>
      </c>
    </row>
    <row r="24" spans="1:12" ht="15.75" customHeight="1">
      <c r="A24" s="5"/>
      <c r="B24" s="6" t="s">
        <v>115</v>
      </c>
      <c r="C24" s="8"/>
      <c r="D24" s="8"/>
      <c r="E24" s="8"/>
      <c r="F24" s="3"/>
      <c r="G24" s="3"/>
      <c r="H24" s="1">
        <v>23</v>
      </c>
      <c r="I24" s="1" t="str">
        <f t="shared" ca="1" si="0"/>
        <v>(27) MANAOIS IRISH
UE / PHI</v>
      </c>
      <c r="J24" s="1" t="str">
        <f t="shared" ca="1" si="1"/>
        <v>(38) - BYE -</v>
      </c>
      <c r="K24" s="1" t="str">
        <f t="shared" ca="1" si="2"/>
        <v>(27) MANAOIS IRISH</v>
      </c>
      <c r="L24" s="1">
        <f t="shared" ca="1" si="3"/>
        <v>0</v>
      </c>
    </row>
    <row r="25" spans="1:12" ht="15.75" customHeight="1">
      <c r="A25" s="6" t="s">
        <v>116</v>
      </c>
      <c r="B25" s="7"/>
      <c r="C25" s="8"/>
      <c r="D25" s="8"/>
      <c r="E25" s="8"/>
      <c r="F25" s="3"/>
      <c r="G25" s="3"/>
      <c r="H25" s="1">
        <v>24</v>
      </c>
      <c r="I25" s="1" t="str">
        <f t="shared" ca="1" si="0"/>
        <v>(59) - BYE -</v>
      </c>
      <c r="J25" s="1" t="str">
        <f t="shared" ca="1" si="1"/>
        <v>(6) HARRISON ASHLEY MAE MICHELLE
NTP / PHI</v>
      </c>
      <c r="K25" s="1" t="str">
        <f t="shared" ca="1" si="2"/>
        <v>(6) HARRISON ASHLEY MAE MICHELLE</v>
      </c>
      <c r="L25" s="1">
        <f t="shared" ca="1" si="3"/>
        <v>0</v>
      </c>
    </row>
    <row r="26" spans="1:12" ht="15.75" customHeight="1">
      <c r="A26" s="7"/>
      <c r="B26" s="3"/>
      <c r="C26" s="8"/>
      <c r="D26" s="6" t="s">
        <v>117</v>
      </c>
      <c r="E26" s="8"/>
      <c r="F26" s="3"/>
      <c r="G26" s="3"/>
      <c r="H26" s="1">
        <v>25</v>
      </c>
      <c r="I26" s="1" t="str">
        <f t="shared" ca="1" si="0"/>
        <v>(7) LARRAZABAL ALEXA
NTP / PHI</v>
      </c>
      <c r="J26" s="1" t="str">
        <f t="shared" ca="1" si="1"/>
        <v>(58) - BYE -</v>
      </c>
      <c r="K26" s="1" t="str">
        <f t="shared" ca="1" si="2"/>
        <v>(7) LARRAZABAL ALEXA</v>
      </c>
      <c r="L26" s="1">
        <f t="shared" ca="1" si="3"/>
        <v>0</v>
      </c>
    </row>
    <row r="27" spans="1:12" ht="15.75" customHeight="1">
      <c r="A27" s="4" t="s">
        <v>118</v>
      </c>
      <c r="B27" s="3"/>
      <c r="C27" s="8"/>
      <c r="D27" s="7" t="s">
        <v>119</v>
      </c>
      <c r="E27" s="8"/>
      <c r="F27" s="3"/>
      <c r="G27" s="3"/>
      <c r="H27" s="1">
        <v>26</v>
      </c>
      <c r="I27" s="1" t="str">
        <f t="shared" ca="1" si="0"/>
        <v>(39) - BYE -</v>
      </c>
      <c r="J27" s="1" t="str">
        <f t="shared" ca="1" si="1"/>
        <v>(26) SYKAT ROBYN NOELLE
RF / PHI</v>
      </c>
      <c r="K27" s="1" t="str">
        <f t="shared" ca="1" si="2"/>
        <v>(26) SYKAT ROBYN NOELLE</v>
      </c>
      <c r="L27" s="1">
        <f t="shared" ca="1" si="3"/>
        <v>0</v>
      </c>
    </row>
    <row r="28" spans="1:12" ht="15.75" customHeight="1">
      <c r="A28" s="5"/>
      <c r="B28" s="4" t="s">
        <v>120</v>
      </c>
      <c r="C28" s="8"/>
      <c r="D28" s="3"/>
      <c r="E28" s="8"/>
      <c r="F28" s="3"/>
      <c r="G28" s="3"/>
      <c r="H28" s="1">
        <v>27</v>
      </c>
      <c r="I28" s="1" t="str">
        <f t="shared" ca="1" si="0"/>
        <v>(23) MARTINEZ TASHA ISABELLA
HCFC / PHI</v>
      </c>
      <c r="J28" s="1" t="str">
        <f t="shared" ca="1" si="1"/>
        <v>(42) - BYE -</v>
      </c>
      <c r="K28" s="1" t="str">
        <f t="shared" ca="1" si="2"/>
        <v>(23) MARTINEZ TASHA ISABELLA</v>
      </c>
      <c r="L28" s="1">
        <f t="shared" ca="1" si="3"/>
        <v>0</v>
      </c>
    </row>
    <row r="29" spans="1:12" ht="15.75" customHeight="1">
      <c r="A29" s="6" t="s">
        <v>121</v>
      </c>
      <c r="B29" s="5"/>
      <c r="C29" s="8"/>
      <c r="D29" s="3"/>
      <c r="E29" s="8"/>
      <c r="F29" s="3"/>
      <c r="G29" s="3"/>
      <c r="H29" s="1">
        <v>28</v>
      </c>
      <c r="I29" s="1" t="str">
        <f t="shared" ca="1" si="0"/>
        <v>(55) - BYE -</v>
      </c>
      <c r="J29" s="1" t="str">
        <f t="shared" ca="1" si="1"/>
        <v>(10) BUSTOS MICKYLE REIN
RF / PHI</v>
      </c>
      <c r="K29" s="1" t="str">
        <f t="shared" ca="1" si="2"/>
        <v>(10) BUSTOS MICKYLE REIN</v>
      </c>
      <c r="L29" s="1">
        <f t="shared" ca="1" si="3"/>
        <v>0</v>
      </c>
    </row>
    <row r="30" spans="1:12" ht="15.75" customHeight="1">
      <c r="A30" s="7"/>
      <c r="B30" s="8"/>
      <c r="C30" s="6" t="s">
        <v>122</v>
      </c>
      <c r="D30" s="3"/>
      <c r="E30" s="8"/>
      <c r="F30" s="3"/>
      <c r="G30" s="3"/>
      <c r="H30" s="1">
        <v>29</v>
      </c>
      <c r="I30" s="1" t="str">
        <f t="shared" ca="1" si="0"/>
        <v>(15) ONG JICKLE CLAIN
CF / PHI</v>
      </c>
      <c r="J30" s="1" t="str">
        <f t="shared" ca="1" si="1"/>
        <v>(50) - BYE -</v>
      </c>
      <c r="K30" s="1" t="str">
        <f t="shared" ca="1" si="2"/>
        <v>(15) ONG JICKLE CLAIN</v>
      </c>
      <c r="L30" s="1">
        <f t="shared" ca="1" si="3"/>
        <v>0</v>
      </c>
    </row>
    <row r="31" spans="1:12" ht="15.75" customHeight="1">
      <c r="A31" s="4" t="s">
        <v>123</v>
      </c>
      <c r="B31" s="8"/>
      <c r="C31" s="7" t="s">
        <v>124</v>
      </c>
      <c r="D31" s="3"/>
      <c r="E31" s="8"/>
      <c r="F31" s="3"/>
      <c r="G31" s="3"/>
      <c r="H31" s="1">
        <v>30</v>
      </c>
      <c r="I31" s="1" t="str">
        <f t="shared" ca="1" si="0"/>
        <v>(47) - BYE -</v>
      </c>
      <c r="J31" s="1" t="str">
        <f t="shared" ca="1" si="1"/>
        <v>(18) VERGARA CYRRA
DLSU / PHI</v>
      </c>
      <c r="K31" s="1" t="str">
        <f t="shared" ca="1" si="2"/>
        <v>(18) VERGARA CYRRA</v>
      </c>
      <c r="L31" s="1">
        <f t="shared" ca="1" si="3"/>
        <v>0</v>
      </c>
    </row>
    <row r="32" spans="1:12" ht="15.75" customHeight="1">
      <c r="A32" s="5"/>
      <c r="B32" s="6" t="s">
        <v>125</v>
      </c>
      <c r="C32" s="3"/>
      <c r="D32" s="3"/>
      <c r="E32" s="8"/>
      <c r="F32" s="3"/>
      <c r="G32" s="3"/>
      <c r="H32" s="1">
        <v>31</v>
      </c>
      <c r="I32" s="1" t="str">
        <f t="shared" ca="1" si="0"/>
        <v>(31) BUENO MARIA KRISTINA ANGELA
CF / PHI</v>
      </c>
      <c r="J32" s="1" t="str">
        <f t="shared" ca="1" si="1"/>
        <v>(34) LOPEZ ALTHEA SOPHIA
USTFT / PHI</v>
      </c>
      <c r="K32" s="1" t="str">
        <f t="shared" ca="1" si="2"/>
        <v>(31) BUENO MARIA KRISTINA ANGELA</v>
      </c>
      <c r="L32" s="1" t="str">
        <f t="shared" ca="1" si="3"/>
        <v>15 - 12</v>
      </c>
    </row>
    <row r="33" spans="1:12" ht="15.75" customHeight="1">
      <c r="A33" s="6" t="s">
        <v>126</v>
      </c>
      <c r="B33" s="7"/>
      <c r="C33" s="3"/>
      <c r="D33" s="3"/>
      <c r="E33" s="8"/>
      <c r="F33" s="3"/>
      <c r="G33" s="3"/>
      <c r="H33" s="1">
        <v>32</v>
      </c>
      <c r="I33" s="1" t="str">
        <f t="shared" ca="1" si="0"/>
        <v>(63) - BYE -</v>
      </c>
      <c r="J33" s="1" t="str">
        <f t="shared" ca="1" si="1"/>
        <v>(2) CANLAS NINA DOMINIQUE
UE / PHI</v>
      </c>
      <c r="K33" s="1" t="str">
        <f t="shared" ca="1" si="2"/>
        <v>(2) CANLAS NINA DOMINIQUE</v>
      </c>
      <c r="L33" s="1">
        <f t="shared" ca="1" si="3"/>
        <v>0</v>
      </c>
    </row>
    <row r="34" spans="1:12" ht="15.75" customHeight="1">
      <c r="A34" s="7"/>
      <c r="B34" s="3"/>
      <c r="C34" s="3"/>
      <c r="D34" s="3"/>
      <c r="E34" s="8"/>
      <c r="F34" s="4" t="s">
        <v>109</v>
      </c>
      <c r="G34" s="3"/>
      <c r="H34" s="1">
        <v>1</v>
      </c>
      <c r="I34" s="1" t="str">
        <f t="shared" ref="I34:I49" ca="1" si="4">INDIRECT("B" &amp; (4 + ($H34-1)*4))</f>
        <v>(1) SEVILLA JULIANA SHANE</v>
      </c>
      <c r="J34" s="1" t="str">
        <f t="shared" ref="J34:J49" ca="1" si="5">INDIRECT("B" &amp; (8 + ($H34-1)*4))</f>
        <v>(32) CAPUNO DAHLIA MAE</v>
      </c>
      <c r="K34" s="1" t="str">
        <f t="shared" ref="K34:K49" ca="1" si="6">INDIRECT("C" &amp; (6 + ($H34-1)*4))</f>
        <v>(1) SEVILLA JULIANA SHANE</v>
      </c>
      <c r="L34" s="1" t="str">
        <f t="shared" ref="L34:L49" ca="1" si="7">INDIRECT("C" &amp; (7 + ($H34-1)*4))</f>
        <v>13 - 7
12:17 PM</v>
      </c>
    </row>
    <row r="35" spans="1:12" ht="15.75" customHeight="1">
      <c r="A35" s="9" t="s">
        <v>127</v>
      </c>
      <c r="B35" s="10"/>
      <c r="C35" s="10"/>
      <c r="D35" s="10"/>
      <c r="E35" s="11"/>
      <c r="F35" s="12" t="s">
        <v>128</v>
      </c>
      <c r="G35" s="10"/>
      <c r="H35" s="1">
        <v>3</v>
      </c>
      <c r="I35" s="1" t="str">
        <f t="shared" ca="1" si="4"/>
        <v>(17) DELOS SANTOS JAYMI</v>
      </c>
      <c r="J35" s="1" t="str">
        <f t="shared" ca="1" si="5"/>
        <v>(16) MENDOZA JENNINA</v>
      </c>
      <c r="K35" s="1" t="str">
        <f t="shared" ca="1" si="6"/>
        <v>(16) DELOS SANTOS JAYMI</v>
      </c>
      <c r="L35" s="1" t="str">
        <f t="shared" ca="1" si="7"/>
        <v>15 - 10</v>
      </c>
    </row>
    <row r="36" spans="1:12" ht="15.75" customHeight="1">
      <c r="A36" s="12"/>
      <c r="B36" s="9" t="s">
        <v>129</v>
      </c>
      <c r="C36" s="10"/>
      <c r="D36" s="10"/>
      <c r="E36" s="11"/>
      <c r="F36" s="11"/>
      <c r="G36" s="10"/>
      <c r="H36" s="1">
        <v>5</v>
      </c>
      <c r="I36" s="1" t="str">
        <f t="shared" ca="1" si="4"/>
        <v>(9) EDNILAG KRUPS KAYA</v>
      </c>
      <c r="J36" s="1" t="str">
        <f t="shared" ca="1" si="5"/>
        <v>(24) SANDOVAL JUSTA ANDREA</v>
      </c>
      <c r="K36" s="1" t="str">
        <f t="shared" ca="1" si="6"/>
        <v>(9) EDNILAG KRUPS KAYA</v>
      </c>
      <c r="L36" s="1" t="str">
        <f t="shared" ca="1" si="7"/>
        <v>15 - 11</v>
      </c>
    </row>
    <row r="37" spans="1:12" ht="15.75" customHeight="1">
      <c r="A37" s="13" t="s">
        <v>130</v>
      </c>
      <c r="B37" s="12"/>
      <c r="C37" s="10"/>
      <c r="D37" s="10"/>
      <c r="E37" s="11"/>
      <c r="F37" s="11"/>
      <c r="G37" s="10"/>
      <c r="H37" s="1">
        <v>7</v>
      </c>
      <c r="I37" s="1" t="str">
        <f t="shared" ca="1" si="4"/>
        <v>(25) SALVADOR IVANA</v>
      </c>
      <c r="J37" s="1" t="str">
        <f t="shared" ca="1" si="5"/>
        <v>(8) TAPALES ENDIRAJ MARGARET</v>
      </c>
      <c r="K37" s="1" t="str">
        <f t="shared" ca="1" si="6"/>
        <v>(8) SALVADOR IVANA</v>
      </c>
      <c r="L37" s="1" t="str">
        <f t="shared" ca="1" si="7"/>
        <v>12 - 11</v>
      </c>
    </row>
    <row r="38" spans="1:12" ht="15.75" customHeight="1">
      <c r="A38" s="14"/>
      <c r="B38" s="11"/>
      <c r="C38" s="9" t="s">
        <v>129</v>
      </c>
      <c r="D38" s="10"/>
      <c r="E38" s="11"/>
      <c r="F38" s="11"/>
      <c r="G38" s="10"/>
      <c r="H38" s="1">
        <v>9</v>
      </c>
      <c r="I38" s="1" t="str">
        <f t="shared" ca="1" si="4"/>
        <v>(5) MATIAS ANDREA JENNELLE</v>
      </c>
      <c r="J38" s="1" t="str">
        <f t="shared" ca="1" si="5"/>
        <v>(28) TORRE PAPINA MARGUERITE</v>
      </c>
      <c r="K38" s="1" t="str">
        <f t="shared" ca="1" si="6"/>
        <v>(5) MATIAS ANDREA JENNELLE</v>
      </c>
      <c r="L38" s="1" t="str">
        <f t="shared" ca="1" si="7"/>
        <v>15 - 6</v>
      </c>
    </row>
    <row r="39" spans="1:12" ht="15.75" customHeight="1">
      <c r="A39" s="9" t="s">
        <v>131</v>
      </c>
      <c r="B39" s="11"/>
      <c r="C39" s="12" t="s">
        <v>132</v>
      </c>
      <c r="D39" s="10"/>
      <c r="E39" s="11"/>
      <c r="F39" s="11"/>
      <c r="G39" s="10"/>
      <c r="H39" s="1">
        <v>11</v>
      </c>
      <c r="I39" s="1" t="str">
        <f t="shared" ca="1" si="4"/>
        <v>(21) DELA CRUZ CHIARA MICHAELA</v>
      </c>
      <c r="J39" s="1" t="str">
        <f t="shared" ca="1" si="5"/>
        <v>(12) SCHOFIELD CYRYLLE ANNE</v>
      </c>
      <c r="K39" s="1" t="str">
        <f t="shared" ca="1" si="6"/>
        <v>(12) SCHOFIELD CYRYLLE ANNE</v>
      </c>
      <c r="L39" s="1" t="str">
        <f t="shared" ca="1" si="7"/>
        <v>15 - 10</v>
      </c>
    </row>
    <row r="40" spans="1:12" ht="15.75" customHeight="1">
      <c r="A40" s="12"/>
      <c r="B40" s="13" t="s">
        <v>133</v>
      </c>
      <c r="C40" s="11"/>
      <c r="D40" s="10"/>
      <c r="E40" s="11"/>
      <c r="F40" s="11"/>
      <c r="G40" s="10"/>
      <c r="H40" s="1">
        <v>13</v>
      </c>
      <c r="I40" s="1" t="str">
        <f t="shared" ca="1" si="4"/>
        <v>(13) TRINIDAD SOLANA MAYUMI</v>
      </c>
      <c r="J40" s="1" t="str">
        <f t="shared" ca="1" si="5"/>
        <v>(20) RAGOT MIKAELA NICOLE</v>
      </c>
      <c r="K40" s="1" t="str">
        <f t="shared" ca="1" si="6"/>
        <v>(13) TRINIDAD SOLANA MAYUMI</v>
      </c>
      <c r="L40" s="1" t="str">
        <f t="shared" ca="1" si="7"/>
        <v>15 - 9</v>
      </c>
    </row>
    <row r="41" spans="1:12" ht="15.75" customHeight="1">
      <c r="A41" s="13" t="s">
        <v>134</v>
      </c>
      <c r="B41" s="14"/>
      <c r="C41" s="11"/>
      <c r="D41" s="10"/>
      <c r="E41" s="11"/>
      <c r="F41" s="11"/>
      <c r="G41" s="10"/>
      <c r="H41" s="1">
        <v>15</v>
      </c>
      <c r="I41" s="1" t="str">
        <f t="shared" ca="1" si="4"/>
        <v>(29) JUNIA ELEINA MARGUERITE</v>
      </c>
      <c r="J41" s="1" t="str">
        <f t="shared" ca="1" si="5"/>
        <v>(4) GOMEZ JULIANA MA. BEATRICE</v>
      </c>
      <c r="K41" s="1" t="str">
        <f t="shared" ca="1" si="6"/>
        <v>(4) GOMEZ JULIANA MA. BEATRICE</v>
      </c>
      <c r="L41" s="1" t="str">
        <f t="shared" ca="1" si="7"/>
        <v>15 - 2
12:19 PM</v>
      </c>
    </row>
    <row r="42" spans="1:12" ht="15.75" customHeight="1">
      <c r="A42" s="14"/>
      <c r="B42" s="10"/>
      <c r="C42" s="11"/>
      <c r="D42" s="9" t="s">
        <v>129</v>
      </c>
      <c r="E42" s="11"/>
      <c r="F42" s="11"/>
      <c r="G42" s="10"/>
      <c r="H42" s="1">
        <v>17</v>
      </c>
      <c r="I42" s="1" t="str">
        <f t="shared" ca="1" si="4"/>
        <v>(3) ABELLA HANNIEL</v>
      </c>
      <c r="J42" s="1" t="str">
        <f t="shared" ca="1" si="5"/>
        <v>(30) GEPUELA CATHERINE THERESE</v>
      </c>
      <c r="K42" s="1" t="str">
        <f t="shared" ca="1" si="6"/>
        <v>(3) ABELLA HANNIEL</v>
      </c>
      <c r="L42" s="1" t="str">
        <f t="shared" ca="1" si="7"/>
        <v>15 - 4
12:23 PM</v>
      </c>
    </row>
    <row r="43" spans="1:12" ht="15.75" customHeight="1">
      <c r="A43" s="9" t="s">
        <v>135</v>
      </c>
      <c r="B43" s="10"/>
      <c r="C43" s="11"/>
      <c r="D43" s="12" t="s">
        <v>136</v>
      </c>
      <c r="E43" s="11"/>
      <c r="F43" s="11"/>
      <c r="G43" s="10"/>
      <c r="H43" s="1">
        <v>19</v>
      </c>
      <c r="I43" s="1" t="str">
        <f t="shared" ca="1" si="4"/>
        <v>(19) FLORES MARIEL ELIANNE</v>
      </c>
      <c r="J43" s="1" t="str">
        <f t="shared" ca="1" si="5"/>
        <v>(14) VILLAPANDO JHOLAN</v>
      </c>
      <c r="K43" s="1" t="str">
        <f t="shared" ca="1" si="6"/>
        <v>(14) FLORES MARIEL ELIANNE</v>
      </c>
      <c r="L43" s="1" t="str">
        <f t="shared" ca="1" si="7"/>
        <v>15 - 12</v>
      </c>
    </row>
    <row r="44" spans="1:12" ht="15.75" customHeight="1">
      <c r="A44" s="12"/>
      <c r="B44" s="9" t="s">
        <v>137</v>
      </c>
      <c r="C44" s="11"/>
      <c r="D44" s="11"/>
      <c r="E44" s="11"/>
      <c r="F44" s="11"/>
      <c r="G44" s="10"/>
      <c r="H44" s="1">
        <v>21</v>
      </c>
      <c r="I44" s="1" t="str">
        <f t="shared" ca="1" si="4"/>
        <v>(11) DINOY IVY CLAIRE</v>
      </c>
      <c r="J44" s="1" t="str">
        <f t="shared" ca="1" si="5"/>
        <v>(22) NORO NAMI</v>
      </c>
      <c r="K44" s="1" t="str">
        <f t="shared" ca="1" si="6"/>
        <v>(11) DINOY IVY CLAIRE</v>
      </c>
      <c r="L44" s="1" t="str">
        <f t="shared" ca="1" si="7"/>
        <v>15 - 10</v>
      </c>
    </row>
    <row r="45" spans="1:12" ht="15.75" customHeight="1">
      <c r="A45" s="13" t="s">
        <v>138</v>
      </c>
      <c r="B45" s="12"/>
      <c r="C45" s="11"/>
      <c r="D45" s="11"/>
      <c r="E45" s="11"/>
      <c r="F45" s="11"/>
      <c r="G45" s="10"/>
      <c r="H45" s="1">
        <v>23</v>
      </c>
      <c r="I45" s="1" t="str">
        <f t="shared" ca="1" si="4"/>
        <v>(27) MANAOIS IRISH</v>
      </c>
      <c r="J45" s="1" t="str">
        <f t="shared" ca="1" si="5"/>
        <v>(6) HARRISON ASHLEY MAE MICHELLE</v>
      </c>
      <c r="K45" s="1" t="str">
        <f t="shared" ca="1" si="6"/>
        <v>(6) HARRISON ASHLEY MAE MICHELLE</v>
      </c>
      <c r="L45" s="1" t="str">
        <f t="shared" ca="1" si="7"/>
        <v>15 - 11</v>
      </c>
    </row>
    <row r="46" spans="1:12" ht="15.75" customHeight="1">
      <c r="A46" s="14"/>
      <c r="B46" s="11"/>
      <c r="C46" s="13" t="s">
        <v>139</v>
      </c>
      <c r="D46" s="11"/>
      <c r="E46" s="11"/>
      <c r="F46" s="11"/>
      <c r="G46" s="10"/>
      <c r="H46" s="1">
        <v>25</v>
      </c>
      <c r="I46" s="1" t="str">
        <f t="shared" ca="1" si="4"/>
        <v>(7) LARRAZABAL ALEXA</v>
      </c>
      <c r="J46" s="1" t="str">
        <f t="shared" ca="1" si="5"/>
        <v>(26) SYKAT ROBYN NOELLE</v>
      </c>
      <c r="K46" s="1" t="str">
        <f t="shared" ca="1" si="6"/>
        <v>(7) LARRAZABAL ALEXA</v>
      </c>
      <c r="L46" s="1" t="str">
        <f t="shared" ca="1" si="7"/>
        <v>15 - 7</v>
      </c>
    </row>
    <row r="47" spans="1:12" ht="15.75" customHeight="1">
      <c r="A47" s="9" t="s">
        <v>140</v>
      </c>
      <c r="B47" s="11"/>
      <c r="C47" s="14" t="s">
        <v>68</v>
      </c>
      <c r="D47" s="11"/>
      <c r="E47" s="11"/>
      <c r="F47" s="11"/>
      <c r="G47" s="10"/>
      <c r="H47" s="1">
        <v>27</v>
      </c>
      <c r="I47" s="1" t="str">
        <f t="shared" ca="1" si="4"/>
        <v>(23) MARTINEZ TASHA ISABELLA</v>
      </c>
      <c r="J47" s="1" t="str">
        <f t="shared" ca="1" si="5"/>
        <v>(10) BUSTOS MICKYLE REIN</v>
      </c>
      <c r="K47" s="1" t="str">
        <f t="shared" ca="1" si="6"/>
        <v>(10) BUSTOS MICKYLE REIN</v>
      </c>
      <c r="L47" s="1" t="str">
        <f t="shared" ca="1" si="7"/>
        <v>15 - 6</v>
      </c>
    </row>
    <row r="48" spans="1:12" ht="15.75" customHeight="1">
      <c r="A48" s="12"/>
      <c r="B48" s="13" t="s">
        <v>139</v>
      </c>
      <c r="C48" s="10"/>
      <c r="D48" s="11"/>
      <c r="E48" s="11"/>
      <c r="F48" s="11"/>
      <c r="G48" s="10"/>
      <c r="H48" s="1">
        <v>29</v>
      </c>
      <c r="I48" s="1" t="str">
        <f t="shared" ca="1" si="4"/>
        <v>(15) ONG JICKLE CLAIN</v>
      </c>
      <c r="J48" s="1" t="str">
        <f t="shared" ca="1" si="5"/>
        <v>(18) VERGARA CYRRA</v>
      </c>
      <c r="K48" s="1" t="str">
        <f t="shared" ca="1" si="6"/>
        <v>(15) VERGARA CYRRA</v>
      </c>
      <c r="L48" s="1" t="str">
        <f t="shared" ca="1" si="7"/>
        <v>15 - 12</v>
      </c>
    </row>
    <row r="49" spans="1:12" ht="15.75" customHeight="1">
      <c r="A49" s="13" t="s">
        <v>141</v>
      </c>
      <c r="B49" s="14"/>
      <c r="C49" s="10"/>
      <c r="D49" s="11"/>
      <c r="E49" s="11"/>
      <c r="F49" s="11"/>
      <c r="G49" s="10"/>
      <c r="H49" s="1">
        <v>31</v>
      </c>
      <c r="I49" s="1" t="str">
        <f t="shared" ca="1" si="4"/>
        <v>(31) BUENO MARIA KRISTINA ANGELA</v>
      </c>
      <c r="J49" s="1" t="str">
        <f t="shared" ca="1" si="5"/>
        <v>(2) CANLAS NINA DOMINIQUE</v>
      </c>
      <c r="K49" s="1" t="str">
        <f t="shared" ca="1" si="6"/>
        <v>(2) CANLAS NINA DOMINIQUE</v>
      </c>
      <c r="L49" s="1" t="str">
        <f t="shared" ca="1" si="7"/>
        <v>15 - 11
12:19 PM</v>
      </c>
    </row>
    <row r="50" spans="1:12" ht="15.75" customHeight="1">
      <c r="A50" s="14"/>
      <c r="B50" s="10"/>
      <c r="C50" s="10"/>
      <c r="D50" s="11"/>
      <c r="E50" s="13" t="s">
        <v>142</v>
      </c>
      <c r="F50" s="11"/>
      <c r="G50" s="10"/>
      <c r="H50" s="1">
        <v>1</v>
      </c>
      <c r="I50" s="1" t="str">
        <f t="shared" ref="I50:I57" ca="1" si="8">INDIRECT("C" &amp; (6 + ($H50-1)*4))</f>
        <v>(1) SEVILLA JULIANA SHANE</v>
      </c>
      <c r="J50" s="1" t="str">
        <f t="shared" ref="J50:J57" ca="1" si="9">INDIRECT("C" &amp; (14 + ($H50-1)*4))</f>
        <v>(16) DELOS SANTOS JAYMI</v>
      </c>
      <c r="K50" s="1" t="str">
        <f t="shared" ref="K50:K57" ca="1" si="10">INDIRECT("D" &amp; (10 + ($H50-1)*4))</f>
        <v>(1) DELOS SANTOS JAYMI</v>
      </c>
      <c r="L50" s="1" t="str">
        <f t="shared" ref="L50:L57" ca="1" si="11">INDIRECT("D" &amp; (11 + ($H50-1)*4))</f>
        <v>15 - 7
12:50 PM</v>
      </c>
    </row>
    <row r="51" spans="1:12" ht="15.75" customHeight="1">
      <c r="A51" s="9" t="s">
        <v>143</v>
      </c>
      <c r="B51" s="10"/>
      <c r="C51" s="10"/>
      <c r="D51" s="11"/>
      <c r="E51" s="14" t="s">
        <v>144</v>
      </c>
      <c r="F51" s="11"/>
      <c r="G51" s="10"/>
      <c r="H51" s="1">
        <v>5</v>
      </c>
      <c r="I51" s="1" t="str">
        <f t="shared" ca="1" si="8"/>
        <v>(9) EDNILAG KRUPS KAYA</v>
      </c>
      <c r="J51" s="1" t="str">
        <f t="shared" ca="1" si="9"/>
        <v>(8) SALVADOR IVANA</v>
      </c>
      <c r="K51" s="1" t="str">
        <f t="shared" ca="1" si="10"/>
        <v>(8) EDNILAG KRUPS KAYA</v>
      </c>
      <c r="L51" s="1" t="str">
        <f t="shared" ca="1" si="11"/>
        <v>15 - 11
12:48 PM</v>
      </c>
    </row>
    <row r="52" spans="1:12" ht="15.75" customHeight="1">
      <c r="A52" s="12"/>
      <c r="B52" s="9" t="s">
        <v>145</v>
      </c>
      <c r="C52" s="10"/>
      <c r="D52" s="11"/>
      <c r="E52" s="10"/>
      <c r="F52" s="11"/>
      <c r="G52" s="10"/>
      <c r="H52" s="1">
        <v>9</v>
      </c>
      <c r="I52" s="1" t="str">
        <f t="shared" ca="1" si="8"/>
        <v>(5) MATIAS ANDREA JENNELLE</v>
      </c>
      <c r="J52" s="1" t="str">
        <f t="shared" ca="1" si="9"/>
        <v>(12) SCHOFIELD CYRYLLE ANNE</v>
      </c>
      <c r="K52" s="1" t="str">
        <f t="shared" ca="1" si="10"/>
        <v>(5) MATIAS ANDREA JENNELLE</v>
      </c>
      <c r="L52" s="1" t="str">
        <f t="shared" ca="1" si="11"/>
        <v>15 - 7
12:39 PM</v>
      </c>
    </row>
    <row r="53" spans="1:12" ht="15.75" customHeight="1">
      <c r="A53" s="13" t="s">
        <v>146</v>
      </c>
      <c r="B53" s="12"/>
      <c r="C53" s="10"/>
      <c r="D53" s="11"/>
      <c r="E53" s="10"/>
      <c r="F53" s="11"/>
      <c r="G53" s="10"/>
      <c r="H53" s="1">
        <v>13</v>
      </c>
      <c r="I53" s="1" t="str">
        <f t="shared" ca="1" si="8"/>
        <v>(13) TRINIDAD SOLANA MAYUMI</v>
      </c>
      <c r="J53" s="1" t="str">
        <f t="shared" ca="1" si="9"/>
        <v>(4) GOMEZ JULIANA MA. BEATRICE</v>
      </c>
      <c r="K53" s="1" t="str">
        <f t="shared" ca="1" si="10"/>
        <v>(4) GOMEZ JULIANA MA. BEATRICE</v>
      </c>
      <c r="L53" s="1" t="str">
        <f t="shared" ca="1" si="11"/>
        <v>15 - 5
1:09 PM</v>
      </c>
    </row>
    <row r="54" spans="1:12" ht="15.75" customHeight="1">
      <c r="A54" s="14"/>
      <c r="B54" s="11"/>
      <c r="C54" s="9" t="s">
        <v>145</v>
      </c>
      <c r="D54" s="11"/>
      <c r="E54" s="10"/>
      <c r="F54" s="11"/>
      <c r="G54" s="10"/>
      <c r="H54" s="1">
        <v>17</v>
      </c>
      <c r="I54" s="1" t="str">
        <f t="shared" ca="1" si="8"/>
        <v>(3) ABELLA HANNIEL</v>
      </c>
      <c r="J54" s="1" t="str">
        <f t="shared" ca="1" si="9"/>
        <v>(14) FLORES MARIEL ELIANNE</v>
      </c>
      <c r="K54" s="1" t="str">
        <f t="shared" ca="1" si="10"/>
        <v>(3) ABELLA HANNIEL</v>
      </c>
      <c r="L54" s="1" t="str">
        <f t="shared" ca="1" si="11"/>
        <v>15 - 5
1:00 PM</v>
      </c>
    </row>
    <row r="55" spans="1:12" ht="15.75" customHeight="1">
      <c r="A55" s="9" t="s">
        <v>147</v>
      </c>
      <c r="B55" s="11"/>
      <c r="C55" s="12" t="s">
        <v>47</v>
      </c>
      <c r="D55" s="11"/>
      <c r="E55" s="10"/>
      <c r="F55" s="11"/>
      <c r="G55" s="10"/>
      <c r="H55" s="1">
        <v>21</v>
      </c>
      <c r="I55" s="1" t="str">
        <f t="shared" ca="1" si="8"/>
        <v>(11) DINOY IVY CLAIRE</v>
      </c>
      <c r="J55" s="1" t="str">
        <f t="shared" ca="1" si="9"/>
        <v>(6) HARRISON ASHLEY MAE MICHELLE</v>
      </c>
      <c r="K55" s="1" t="str">
        <f t="shared" ca="1" si="10"/>
        <v>(6) HARRISON ASHLEY MAE MICHELLE</v>
      </c>
      <c r="L55" s="1" t="str">
        <f t="shared" ca="1" si="11"/>
        <v>13 - 8
1:13 PM</v>
      </c>
    </row>
    <row r="56" spans="1:12" ht="15.75" customHeight="1">
      <c r="A56" s="12"/>
      <c r="B56" s="13" t="s">
        <v>148</v>
      </c>
      <c r="C56" s="11"/>
      <c r="D56" s="11"/>
      <c r="E56" s="10"/>
      <c r="F56" s="11"/>
      <c r="G56" s="10"/>
      <c r="H56" s="1">
        <v>25</v>
      </c>
      <c r="I56" s="1" t="str">
        <f t="shared" ca="1" si="8"/>
        <v>(7) LARRAZABAL ALEXA</v>
      </c>
      <c r="J56" s="1" t="str">
        <f t="shared" ca="1" si="9"/>
        <v>(10) BUSTOS MICKYLE REIN</v>
      </c>
      <c r="K56" s="1" t="str">
        <f t="shared" ca="1" si="10"/>
        <v>(7) LARRAZABAL ALEXA</v>
      </c>
      <c r="L56" s="1" t="str">
        <f t="shared" ca="1" si="11"/>
        <v>15 - 5
1:05 PM</v>
      </c>
    </row>
    <row r="57" spans="1:12" ht="15.75" customHeight="1">
      <c r="A57" s="13" t="s">
        <v>149</v>
      </c>
      <c r="B57" s="14"/>
      <c r="C57" s="11"/>
      <c r="D57" s="11"/>
      <c r="E57" s="10"/>
      <c r="F57" s="11"/>
      <c r="G57" s="10"/>
      <c r="H57" s="1">
        <v>29</v>
      </c>
      <c r="I57" s="1" t="str">
        <f t="shared" ca="1" si="8"/>
        <v>(15) VERGARA CYRRA</v>
      </c>
      <c r="J57" s="1" t="str">
        <f t="shared" ca="1" si="9"/>
        <v>(2) CANLAS NINA DOMINIQUE</v>
      </c>
      <c r="K57" s="1" t="str">
        <f t="shared" ca="1" si="10"/>
        <v>(2) VERGARA CYRRA</v>
      </c>
      <c r="L57" s="1" t="str">
        <f t="shared" ca="1" si="11"/>
        <v>15 - 8
1:04 PM</v>
      </c>
    </row>
    <row r="58" spans="1:12" ht="15.75" customHeight="1">
      <c r="A58" s="14"/>
      <c r="B58" s="10"/>
      <c r="C58" s="11"/>
      <c r="D58" s="13" t="s">
        <v>142</v>
      </c>
      <c r="E58" s="10"/>
      <c r="F58" s="11"/>
      <c r="G58" s="10"/>
      <c r="H58" s="1">
        <v>1</v>
      </c>
      <c r="I58" s="1" t="str">
        <f t="shared" ref="I58:I61" ca="1" si="12">INDIRECT("D" &amp; (10 + ($H58-1)*4))</f>
        <v>(1) DELOS SANTOS JAYMI</v>
      </c>
      <c r="J58" s="1" t="str">
        <f t="shared" ref="J58:J61" ca="1" si="13">INDIRECT("D" &amp; (26 + ($H58-1)*4))</f>
        <v>(8) EDNILAG KRUPS KAYA</v>
      </c>
      <c r="K58" s="1" t="str">
        <f t="shared" ref="K58:K61" ca="1" si="14">INDIRECT("E" &amp; (18 + ($H58-1)*4))</f>
        <v>(1) EDNILAG KRUPS KAYA</v>
      </c>
      <c r="L58" s="1" t="str">
        <f t="shared" ref="L58:L61" ca="1" si="15">INDIRECT("E" &amp; (19 + ($H58-1)*4))</f>
        <v>15 - 10
1:37 PM</v>
      </c>
    </row>
    <row r="59" spans="1:12" ht="15.75" customHeight="1">
      <c r="A59" s="9" t="s">
        <v>150</v>
      </c>
      <c r="B59" s="10"/>
      <c r="C59" s="11"/>
      <c r="D59" s="14" t="s">
        <v>151</v>
      </c>
      <c r="E59" s="10"/>
      <c r="F59" s="11"/>
      <c r="G59" s="10"/>
      <c r="H59" s="1">
        <v>9</v>
      </c>
      <c r="I59" s="1" t="str">
        <f t="shared" ca="1" si="12"/>
        <v>(5) MATIAS ANDREA JENNELLE</v>
      </c>
      <c r="J59" s="1" t="str">
        <f t="shared" ca="1" si="13"/>
        <v>(4) GOMEZ JULIANA MA. BEATRICE</v>
      </c>
      <c r="K59" s="1" t="str">
        <f t="shared" ca="1" si="14"/>
        <v>(4) GOMEZ JULIANA MA. BEATRICE</v>
      </c>
      <c r="L59" s="1" t="str">
        <f t="shared" ca="1" si="15"/>
        <v>15 - 14
1:29 PM</v>
      </c>
    </row>
    <row r="60" spans="1:12" ht="15.75" customHeight="1">
      <c r="A60" s="12"/>
      <c r="B60" s="9" t="s">
        <v>152</v>
      </c>
      <c r="C60" s="11"/>
      <c r="D60" s="10"/>
      <c r="E60" s="10"/>
      <c r="F60" s="11"/>
      <c r="G60" s="10"/>
      <c r="H60" s="1">
        <v>17</v>
      </c>
      <c r="I60" s="1" t="str">
        <f t="shared" ca="1" si="12"/>
        <v>(3) ABELLA HANNIEL</v>
      </c>
      <c r="J60" s="1" t="str">
        <f t="shared" ca="1" si="13"/>
        <v>(6) HARRISON ASHLEY MAE MICHELLE</v>
      </c>
      <c r="K60" s="1" t="str">
        <f t="shared" ca="1" si="14"/>
        <v>(3) HARRISON ASHLEY MAE MICHELLE</v>
      </c>
      <c r="L60" s="1" t="str">
        <f t="shared" ca="1" si="15"/>
        <v>15 - 13
1:40 PM</v>
      </c>
    </row>
    <row r="61" spans="1:12" ht="15.75" customHeight="1">
      <c r="A61" s="13" t="s">
        <v>153</v>
      </c>
      <c r="B61" s="12" t="s">
        <v>23</v>
      </c>
      <c r="C61" s="11"/>
      <c r="D61" s="10"/>
      <c r="E61" s="10"/>
      <c r="F61" s="11"/>
      <c r="G61" s="10"/>
      <c r="H61" s="1">
        <v>25</v>
      </c>
      <c r="I61" s="1" t="str">
        <f t="shared" ca="1" si="12"/>
        <v>(7) LARRAZABAL ALEXA</v>
      </c>
      <c r="J61" s="1" t="str">
        <f t="shared" ca="1" si="13"/>
        <v>(2) VERGARA CYRRA</v>
      </c>
      <c r="K61" s="1" t="str">
        <f t="shared" ca="1" si="14"/>
        <v>(2) LARRAZABAL ALEXA</v>
      </c>
      <c r="L61" s="1" t="str">
        <f t="shared" ca="1" si="15"/>
        <v>15 - 4
1:44 PM</v>
      </c>
    </row>
    <row r="62" spans="1:12" ht="15.75" customHeight="1">
      <c r="A62" s="14"/>
      <c r="B62" s="11"/>
      <c r="C62" s="13" t="s">
        <v>142</v>
      </c>
      <c r="D62" s="10"/>
      <c r="E62" s="10"/>
      <c r="F62" s="11"/>
      <c r="G62" s="10"/>
      <c r="H62" s="1">
        <v>1</v>
      </c>
      <c r="I62" s="1" t="str">
        <f t="shared" ref="I62:I63" ca="1" si="16">INDIRECT("E" &amp; (18 + ($H62-1)*4))</f>
        <v>(1) EDNILAG KRUPS KAYA</v>
      </c>
      <c r="J62" s="1" t="str">
        <f t="shared" ref="J62:J63" ca="1" si="17">INDIRECT("E" &amp; (50 + ($H62-1)*4))</f>
        <v>(4) GOMEZ JULIANA MA. BEATRICE</v>
      </c>
      <c r="K62" s="1" t="str">
        <f t="shared" ref="K62:K63" ca="1" si="18">INDIRECT("F" &amp; (34 + ($H62-1)*4))</f>
        <v>(1) EDNILAG KRUPS KAYA</v>
      </c>
      <c r="L62" s="1" t="str">
        <f t="shared" ref="L62:L63" ca="1" si="19">INDIRECT("F" &amp; (35 + ($H62-1)*4))</f>
        <v>15 - 9
2:06 PM</v>
      </c>
    </row>
    <row r="63" spans="1:12" ht="15.75" customHeight="1">
      <c r="A63" s="9" t="s">
        <v>154</v>
      </c>
      <c r="B63" s="11"/>
      <c r="C63" s="14" t="s">
        <v>155</v>
      </c>
      <c r="D63" s="10"/>
      <c r="E63" s="10"/>
      <c r="F63" s="11"/>
      <c r="G63" s="10"/>
      <c r="H63" s="1">
        <v>17</v>
      </c>
      <c r="I63" s="1" t="str">
        <f t="shared" ca="1" si="16"/>
        <v>(3) HARRISON ASHLEY MAE MICHELLE</v>
      </c>
      <c r="J63" s="1" t="str">
        <f t="shared" ca="1" si="17"/>
        <v>(2) LARRAZABAL ALEXA</v>
      </c>
      <c r="K63" s="1" t="str">
        <f t="shared" ca="1" si="18"/>
        <v>(2) LARRAZABAL ALEXA</v>
      </c>
      <c r="L63" s="1" t="str">
        <f t="shared" ca="1" si="19"/>
        <v>15 - 10
2:10 PM</v>
      </c>
    </row>
    <row r="64" spans="1:12" ht="13">
      <c r="A64" s="12"/>
      <c r="B64" s="13" t="s">
        <v>142</v>
      </c>
      <c r="C64" s="10"/>
      <c r="D64" s="10"/>
      <c r="E64" s="10"/>
      <c r="F64" s="11"/>
      <c r="G64" s="10"/>
      <c r="H64" s="1">
        <v>1</v>
      </c>
      <c r="I64" s="1" t="str">
        <f t="array" aca="1" ref="I64" ca="1">INDIRECT("F" &amp; (34 + ($H64-1)*4))</f>
        <v>(1) EDNILAG KRUPS KAYA</v>
      </c>
      <c r="J64" s="1" t="str">
        <f t="array" aca="1" ref="J64" ca="1">INDIRECT("F" &amp; (98 + ($H64-1)*4))</f>
        <v>(2) LARRAZABAL ALEXA</v>
      </c>
      <c r="K64" s="1" t="str">
        <f t="array" aca="1" ref="K64" ca="1">INDIRECT("G" &amp; (66 + ($H64-1)*4))</f>
        <v>(1) LARRAZABAL ALEXA</v>
      </c>
      <c r="L64" s="1" t="str">
        <f t="array" aca="1" ref="L64" ca="1">INDIRECT("G" &amp; (67 + ($H64-1)*4))</f>
        <v>15 - 8
2:34 PM</v>
      </c>
    </row>
    <row r="65" spans="1:7" ht="13">
      <c r="A65" s="13" t="s">
        <v>156</v>
      </c>
      <c r="B65" s="14"/>
      <c r="C65" s="10"/>
      <c r="D65" s="10"/>
      <c r="E65" s="10"/>
      <c r="F65" s="11"/>
      <c r="G65" s="10"/>
    </row>
    <row r="66" spans="1:7" ht="13">
      <c r="A66" s="14"/>
      <c r="B66" s="10"/>
      <c r="C66" s="10"/>
      <c r="D66" s="10"/>
      <c r="E66" s="10"/>
      <c r="F66" s="11"/>
      <c r="G66" s="9" t="s">
        <v>11</v>
      </c>
    </row>
    <row r="67" spans="1:7" ht="13">
      <c r="A67" s="4" t="s">
        <v>157</v>
      </c>
      <c r="B67" s="3"/>
      <c r="C67" s="3"/>
      <c r="D67" s="3"/>
      <c r="E67" s="3"/>
      <c r="F67" s="8"/>
      <c r="G67" s="7" t="s">
        <v>158</v>
      </c>
    </row>
    <row r="68" spans="1:7" ht="13">
      <c r="A68" s="5"/>
      <c r="B68" s="4" t="s">
        <v>159</v>
      </c>
      <c r="C68" s="3"/>
      <c r="D68" s="3"/>
      <c r="E68" s="3"/>
      <c r="F68" s="8"/>
      <c r="G68" s="3"/>
    </row>
    <row r="69" spans="1:7" ht="13">
      <c r="A69" s="6" t="s">
        <v>160</v>
      </c>
      <c r="B69" s="5"/>
      <c r="C69" s="3"/>
      <c r="D69" s="3"/>
      <c r="E69" s="3"/>
      <c r="F69" s="8"/>
      <c r="G69" s="3"/>
    </row>
    <row r="70" spans="1:7" ht="13">
      <c r="A70" s="7"/>
      <c r="B70" s="8"/>
      <c r="C70" s="4" t="s">
        <v>159</v>
      </c>
      <c r="D70" s="3"/>
      <c r="E70" s="3"/>
      <c r="F70" s="8"/>
      <c r="G70" s="3"/>
    </row>
    <row r="71" spans="1:7" ht="13">
      <c r="A71" s="4" t="s">
        <v>161</v>
      </c>
      <c r="B71" s="8"/>
      <c r="C71" s="5" t="s">
        <v>162</v>
      </c>
      <c r="D71" s="3"/>
      <c r="E71" s="3"/>
      <c r="F71" s="8"/>
      <c r="G71" s="3"/>
    </row>
    <row r="72" spans="1:7" ht="13">
      <c r="A72" s="5"/>
      <c r="B72" s="6" t="s">
        <v>163</v>
      </c>
      <c r="C72" s="8"/>
      <c r="D72" s="3"/>
      <c r="E72" s="3"/>
      <c r="F72" s="8"/>
      <c r="G72" s="3"/>
    </row>
    <row r="73" spans="1:7" ht="13">
      <c r="A73" s="6" t="s">
        <v>164</v>
      </c>
      <c r="B73" s="7" t="s">
        <v>165</v>
      </c>
      <c r="C73" s="8"/>
      <c r="D73" s="3"/>
      <c r="E73" s="3"/>
      <c r="F73" s="8"/>
      <c r="G73" s="3"/>
    </row>
    <row r="74" spans="1:7" ht="13">
      <c r="A74" s="7"/>
      <c r="B74" s="3"/>
      <c r="C74" s="8"/>
      <c r="D74" s="4" t="s">
        <v>159</v>
      </c>
      <c r="E74" s="3"/>
      <c r="F74" s="8"/>
      <c r="G74" s="3"/>
    </row>
    <row r="75" spans="1:7" ht="13">
      <c r="A75" s="4" t="s">
        <v>166</v>
      </c>
      <c r="B75" s="3"/>
      <c r="C75" s="8"/>
      <c r="D75" s="5" t="s">
        <v>167</v>
      </c>
      <c r="E75" s="3"/>
      <c r="F75" s="8"/>
      <c r="G75" s="3"/>
    </row>
    <row r="76" spans="1:7" ht="13">
      <c r="A76" s="5"/>
      <c r="B76" s="4" t="s">
        <v>168</v>
      </c>
      <c r="C76" s="8"/>
      <c r="D76" s="8"/>
      <c r="E76" s="3"/>
      <c r="F76" s="8"/>
      <c r="G76" s="3"/>
    </row>
    <row r="77" spans="1:7" ht="13">
      <c r="A77" s="6" t="s">
        <v>169</v>
      </c>
      <c r="B77" s="5"/>
      <c r="C77" s="8"/>
      <c r="D77" s="8"/>
      <c r="E77" s="3"/>
      <c r="F77" s="8"/>
      <c r="G77" s="3"/>
    </row>
    <row r="78" spans="1:7" ht="13">
      <c r="A78" s="7"/>
      <c r="B78" s="8"/>
      <c r="C78" s="6" t="s">
        <v>170</v>
      </c>
      <c r="D78" s="8"/>
      <c r="E78" s="3"/>
      <c r="F78" s="8"/>
      <c r="G78" s="3"/>
    </row>
    <row r="79" spans="1:7" ht="13">
      <c r="A79" s="4" t="s">
        <v>171</v>
      </c>
      <c r="B79" s="8"/>
      <c r="C79" s="7" t="s">
        <v>52</v>
      </c>
      <c r="D79" s="8"/>
      <c r="E79" s="3"/>
      <c r="F79" s="8"/>
      <c r="G79" s="3"/>
    </row>
    <row r="80" spans="1:7" ht="13">
      <c r="A80" s="5"/>
      <c r="B80" s="6" t="s">
        <v>172</v>
      </c>
      <c r="C80" s="3"/>
      <c r="D80" s="8"/>
      <c r="E80" s="3"/>
      <c r="F80" s="8"/>
      <c r="G80" s="3"/>
    </row>
    <row r="81" spans="1:7" ht="13">
      <c r="A81" s="6" t="s">
        <v>173</v>
      </c>
      <c r="B81" s="7"/>
      <c r="C81" s="3"/>
      <c r="D81" s="8"/>
      <c r="E81" s="3"/>
      <c r="F81" s="8"/>
      <c r="G81" s="3"/>
    </row>
    <row r="82" spans="1:7" ht="13">
      <c r="A82" s="7"/>
      <c r="B82" s="3"/>
      <c r="C82" s="3"/>
      <c r="D82" s="8"/>
      <c r="E82" s="4" t="s">
        <v>174</v>
      </c>
      <c r="F82" s="8"/>
      <c r="G82" s="3"/>
    </row>
    <row r="83" spans="1:7" ht="13">
      <c r="A83" s="4" t="s">
        <v>175</v>
      </c>
      <c r="B83" s="3"/>
      <c r="C83" s="3"/>
      <c r="D83" s="8"/>
      <c r="E83" s="5" t="s">
        <v>176</v>
      </c>
      <c r="F83" s="8"/>
      <c r="G83" s="3"/>
    </row>
    <row r="84" spans="1:7" ht="13">
      <c r="A84" s="5"/>
      <c r="B84" s="4" t="s">
        <v>177</v>
      </c>
      <c r="C84" s="3"/>
      <c r="D84" s="8"/>
      <c r="E84" s="8"/>
      <c r="F84" s="8"/>
      <c r="G84" s="3"/>
    </row>
    <row r="85" spans="1:7" ht="13">
      <c r="A85" s="6" t="s">
        <v>178</v>
      </c>
      <c r="B85" s="5"/>
      <c r="C85" s="3"/>
      <c r="D85" s="8"/>
      <c r="E85" s="8"/>
      <c r="F85" s="8"/>
      <c r="G85" s="3"/>
    </row>
    <row r="86" spans="1:7" ht="13">
      <c r="A86" s="7"/>
      <c r="B86" s="8"/>
      <c r="C86" s="4" t="s">
        <v>177</v>
      </c>
      <c r="D86" s="8"/>
      <c r="E86" s="8"/>
      <c r="F86" s="8"/>
      <c r="G86" s="3"/>
    </row>
    <row r="87" spans="1:7" ht="13">
      <c r="A87" s="4" t="s">
        <v>179</v>
      </c>
      <c r="B87" s="8"/>
      <c r="C87" s="5" t="s">
        <v>68</v>
      </c>
      <c r="D87" s="8"/>
      <c r="E87" s="8"/>
      <c r="F87" s="8"/>
      <c r="G87" s="3"/>
    </row>
    <row r="88" spans="1:7" ht="13">
      <c r="A88" s="5"/>
      <c r="B88" s="6" t="s">
        <v>180</v>
      </c>
      <c r="C88" s="8"/>
      <c r="D88" s="8"/>
      <c r="E88" s="8"/>
      <c r="F88" s="8"/>
      <c r="G88" s="3"/>
    </row>
    <row r="89" spans="1:7" ht="13">
      <c r="A89" s="6" t="s">
        <v>181</v>
      </c>
      <c r="B89" s="7"/>
      <c r="C89" s="8"/>
      <c r="D89" s="8"/>
      <c r="E89" s="8"/>
      <c r="F89" s="8"/>
      <c r="G89" s="3"/>
    </row>
    <row r="90" spans="1:7" ht="13">
      <c r="A90" s="7"/>
      <c r="B90" s="3"/>
      <c r="C90" s="8"/>
      <c r="D90" s="6" t="s">
        <v>182</v>
      </c>
      <c r="E90" s="8"/>
      <c r="F90" s="8"/>
      <c r="G90" s="3"/>
    </row>
    <row r="91" spans="1:7" ht="13">
      <c r="A91" s="4" t="s">
        <v>183</v>
      </c>
      <c r="B91" s="3"/>
      <c r="C91" s="8"/>
      <c r="D91" s="7" t="s">
        <v>184</v>
      </c>
      <c r="E91" s="8"/>
      <c r="F91" s="8"/>
      <c r="G91" s="3"/>
    </row>
    <row r="92" spans="1:7" ht="13">
      <c r="A92" s="5"/>
      <c r="B92" s="4" t="s">
        <v>185</v>
      </c>
      <c r="C92" s="8"/>
      <c r="D92" s="3"/>
      <c r="E92" s="8"/>
      <c r="F92" s="8"/>
      <c r="G92" s="3"/>
    </row>
    <row r="93" spans="1:7" ht="13">
      <c r="A93" s="6" t="s">
        <v>186</v>
      </c>
      <c r="B93" s="5"/>
      <c r="C93" s="8"/>
      <c r="D93" s="3"/>
      <c r="E93" s="8"/>
      <c r="F93" s="8"/>
      <c r="G93" s="3"/>
    </row>
    <row r="94" spans="1:7" ht="13">
      <c r="A94" s="7"/>
      <c r="B94" s="8"/>
      <c r="C94" s="6" t="s">
        <v>182</v>
      </c>
      <c r="D94" s="3"/>
      <c r="E94" s="8"/>
      <c r="F94" s="8"/>
      <c r="G94" s="3"/>
    </row>
    <row r="95" spans="1:7" ht="13">
      <c r="A95" s="4" t="s">
        <v>187</v>
      </c>
      <c r="B95" s="8"/>
      <c r="C95" s="7" t="s">
        <v>63</v>
      </c>
      <c r="D95" s="3"/>
      <c r="E95" s="8"/>
      <c r="F95" s="8"/>
      <c r="G95" s="3"/>
    </row>
    <row r="96" spans="1:7" ht="13">
      <c r="A96" s="5"/>
      <c r="B96" s="6" t="s">
        <v>182</v>
      </c>
      <c r="C96" s="3"/>
      <c r="D96" s="3"/>
      <c r="E96" s="8"/>
      <c r="F96" s="8"/>
      <c r="G96" s="3"/>
    </row>
    <row r="97" spans="1:7" ht="13">
      <c r="A97" s="6" t="s">
        <v>188</v>
      </c>
      <c r="B97" s="7"/>
      <c r="C97" s="3"/>
      <c r="D97" s="3"/>
      <c r="E97" s="8"/>
      <c r="F97" s="8"/>
      <c r="G97" s="3"/>
    </row>
    <row r="98" spans="1:7" ht="13">
      <c r="A98" s="7"/>
      <c r="B98" s="3"/>
      <c r="C98" s="3"/>
      <c r="D98" s="3"/>
      <c r="E98" s="8"/>
      <c r="F98" s="6" t="s">
        <v>189</v>
      </c>
      <c r="G98" s="3"/>
    </row>
    <row r="99" spans="1:7" ht="13">
      <c r="A99" s="9" t="s">
        <v>190</v>
      </c>
      <c r="B99" s="10"/>
      <c r="C99" s="10"/>
      <c r="D99" s="10"/>
      <c r="E99" s="11"/>
      <c r="F99" s="14" t="s">
        <v>191</v>
      </c>
      <c r="G99" s="10"/>
    </row>
    <row r="100" spans="1:7" ht="13">
      <c r="A100" s="12"/>
      <c r="B100" s="9" t="s">
        <v>192</v>
      </c>
      <c r="C100" s="10"/>
      <c r="D100" s="10"/>
      <c r="E100" s="11"/>
      <c r="F100" s="10"/>
      <c r="G100" s="10"/>
    </row>
    <row r="101" spans="1:7" ht="13">
      <c r="A101" s="13" t="s">
        <v>193</v>
      </c>
      <c r="B101" s="12"/>
      <c r="C101" s="10"/>
      <c r="D101" s="10"/>
      <c r="E101" s="11"/>
      <c r="F101" s="10"/>
      <c r="G101" s="10"/>
    </row>
    <row r="102" spans="1:7" ht="13">
      <c r="A102" s="14"/>
      <c r="B102" s="11"/>
      <c r="C102" s="9" t="s">
        <v>192</v>
      </c>
      <c r="D102" s="10"/>
      <c r="E102" s="11"/>
      <c r="F102" s="10"/>
      <c r="G102" s="10"/>
    </row>
    <row r="103" spans="1:7" ht="13">
      <c r="A103" s="9" t="s">
        <v>194</v>
      </c>
      <c r="B103" s="11"/>
      <c r="C103" s="12" t="s">
        <v>58</v>
      </c>
      <c r="D103" s="10"/>
      <c r="E103" s="11"/>
      <c r="F103" s="10"/>
      <c r="G103" s="10"/>
    </row>
    <row r="104" spans="1:7" ht="13">
      <c r="A104" s="12"/>
      <c r="B104" s="13" t="s">
        <v>195</v>
      </c>
      <c r="C104" s="11"/>
      <c r="D104" s="10"/>
      <c r="E104" s="11"/>
      <c r="F104" s="10"/>
      <c r="G104" s="10"/>
    </row>
    <row r="105" spans="1:7" ht="13">
      <c r="A105" s="13" t="s">
        <v>196</v>
      </c>
      <c r="B105" s="14"/>
      <c r="C105" s="11"/>
      <c r="D105" s="10"/>
      <c r="E105" s="11"/>
      <c r="F105" s="10"/>
      <c r="G105" s="10"/>
    </row>
    <row r="106" spans="1:7" ht="13">
      <c r="A106" s="14"/>
      <c r="B106" s="10"/>
      <c r="C106" s="11"/>
      <c r="D106" s="9" t="s">
        <v>192</v>
      </c>
      <c r="E106" s="11"/>
      <c r="F106" s="10"/>
      <c r="G106" s="10"/>
    </row>
    <row r="107" spans="1:7" ht="13">
      <c r="A107" s="9" t="s">
        <v>197</v>
      </c>
      <c r="B107" s="10"/>
      <c r="C107" s="11"/>
      <c r="D107" s="12" t="s">
        <v>198</v>
      </c>
      <c r="E107" s="11"/>
      <c r="F107" s="10"/>
      <c r="G107" s="10"/>
    </row>
    <row r="108" spans="1:7" ht="13">
      <c r="A108" s="12"/>
      <c r="B108" s="9" t="s">
        <v>199</v>
      </c>
      <c r="C108" s="11"/>
      <c r="D108" s="11"/>
      <c r="E108" s="11"/>
      <c r="F108" s="10"/>
      <c r="G108" s="10"/>
    </row>
    <row r="109" spans="1:7" ht="13">
      <c r="A109" s="13" t="s">
        <v>200</v>
      </c>
      <c r="B109" s="12"/>
      <c r="C109" s="11"/>
      <c r="D109" s="11"/>
      <c r="E109" s="11"/>
      <c r="F109" s="10"/>
      <c r="G109" s="10"/>
    </row>
    <row r="110" spans="1:7" ht="13">
      <c r="A110" s="14"/>
      <c r="B110" s="11"/>
      <c r="C110" s="13" t="s">
        <v>201</v>
      </c>
      <c r="D110" s="11"/>
      <c r="E110" s="11"/>
      <c r="F110" s="10"/>
      <c r="G110" s="10"/>
    </row>
    <row r="111" spans="1:7" ht="13">
      <c r="A111" s="9" t="s">
        <v>202</v>
      </c>
      <c r="B111" s="11"/>
      <c r="C111" s="14" t="s">
        <v>132</v>
      </c>
      <c r="D111" s="11"/>
      <c r="E111" s="11"/>
      <c r="F111" s="10"/>
      <c r="G111" s="10"/>
    </row>
    <row r="112" spans="1:7" ht="13">
      <c r="A112" s="12"/>
      <c r="B112" s="13" t="s">
        <v>201</v>
      </c>
      <c r="C112" s="10"/>
      <c r="D112" s="11"/>
      <c r="E112" s="11"/>
      <c r="F112" s="10"/>
      <c r="G112" s="10"/>
    </row>
    <row r="113" spans="1:7" ht="13">
      <c r="A113" s="13" t="s">
        <v>203</v>
      </c>
      <c r="B113" s="14"/>
      <c r="C113" s="10"/>
      <c r="D113" s="11"/>
      <c r="E113" s="11"/>
      <c r="F113" s="10"/>
      <c r="G113" s="10"/>
    </row>
    <row r="114" spans="1:7" ht="13">
      <c r="A114" s="14"/>
      <c r="B114" s="10"/>
      <c r="C114" s="10"/>
      <c r="D114" s="11"/>
      <c r="E114" s="13" t="s">
        <v>189</v>
      </c>
      <c r="F114" s="10"/>
      <c r="G114" s="10"/>
    </row>
    <row r="115" spans="1:7" ht="13">
      <c r="A115" s="9" t="s">
        <v>204</v>
      </c>
      <c r="B115" s="10"/>
      <c r="C115" s="10"/>
      <c r="D115" s="11"/>
      <c r="E115" s="14" t="s">
        <v>205</v>
      </c>
      <c r="F115" s="10"/>
      <c r="G115" s="10"/>
    </row>
    <row r="116" spans="1:7" ht="13">
      <c r="A116" s="12"/>
      <c r="B116" s="9" t="s">
        <v>206</v>
      </c>
      <c r="C116" s="10"/>
      <c r="D116" s="11"/>
      <c r="E116" s="10"/>
      <c r="F116" s="10"/>
      <c r="G116" s="10"/>
    </row>
    <row r="117" spans="1:7" ht="13">
      <c r="A117" s="13" t="s">
        <v>207</v>
      </c>
      <c r="B117" s="12"/>
      <c r="C117" s="10"/>
      <c r="D117" s="11"/>
      <c r="E117" s="10"/>
      <c r="F117" s="10"/>
      <c r="G117" s="10"/>
    </row>
    <row r="118" spans="1:7" ht="13">
      <c r="A118" s="14"/>
      <c r="B118" s="11"/>
      <c r="C118" s="9" t="s">
        <v>208</v>
      </c>
      <c r="D118" s="11"/>
      <c r="E118" s="10"/>
      <c r="F118" s="10"/>
      <c r="G118" s="10"/>
    </row>
    <row r="119" spans="1:7" ht="13">
      <c r="A119" s="9" t="s">
        <v>209</v>
      </c>
      <c r="B119" s="11"/>
      <c r="C119" s="12" t="s">
        <v>52</v>
      </c>
      <c r="D119" s="11"/>
      <c r="E119" s="10"/>
      <c r="F119" s="10"/>
      <c r="G119" s="10"/>
    </row>
    <row r="120" spans="1:7" ht="13">
      <c r="A120" s="12"/>
      <c r="B120" s="13" t="s">
        <v>210</v>
      </c>
      <c r="C120" s="11"/>
      <c r="D120" s="11"/>
      <c r="E120" s="10"/>
      <c r="F120" s="10"/>
      <c r="G120" s="10"/>
    </row>
    <row r="121" spans="1:7" ht="13">
      <c r="A121" s="13" t="s">
        <v>211</v>
      </c>
      <c r="B121" s="14"/>
      <c r="C121" s="11"/>
      <c r="D121" s="11"/>
      <c r="E121" s="10"/>
      <c r="F121" s="10"/>
      <c r="G121" s="10"/>
    </row>
    <row r="122" spans="1:7" ht="13">
      <c r="A122" s="14"/>
      <c r="B122" s="10"/>
      <c r="C122" s="11"/>
      <c r="D122" s="13" t="s">
        <v>212</v>
      </c>
      <c r="E122" s="10"/>
      <c r="F122" s="10"/>
      <c r="G122" s="10"/>
    </row>
    <row r="123" spans="1:7" ht="13">
      <c r="A123" s="9" t="s">
        <v>213</v>
      </c>
      <c r="B123" s="10"/>
      <c r="C123" s="11"/>
      <c r="D123" s="14" t="s">
        <v>214</v>
      </c>
      <c r="E123" s="10"/>
      <c r="F123" s="10"/>
      <c r="G123" s="10"/>
    </row>
    <row r="124" spans="1:7" ht="13">
      <c r="A124" s="12"/>
      <c r="B124" s="9" t="s">
        <v>215</v>
      </c>
      <c r="C124" s="11"/>
      <c r="D124" s="10"/>
      <c r="E124" s="10"/>
      <c r="F124" s="10"/>
      <c r="G124" s="10"/>
    </row>
    <row r="125" spans="1:7" ht="13">
      <c r="A125" s="13" t="s">
        <v>216</v>
      </c>
      <c r="B125" s="12" t="s">
        <v>52</v>
      </c>
      <c r="C125" s="11"/>
      <c r="D125" s="10"/>
      <c r="E125" s="10"/>
      <c r="F125" s="10"/>
      <c r="G125" s="10"/>
    </row>
    <row r="126" spans="1:7" ht="13">
      <c r="A126" s="14"/>
      <c r="B126" s="11"/>
      <c r="C126" s="13" t="s">
        <v>217</v>
      </c>
      <c r="D126" s="10"/>
      <c r="E126" s="10"/>
      <c r="F126" s="10"/>
      <c r="G126" s="10"/>
    </row>
    <row r="127" spans="1:7" ht="13">
      <c r="A127" s="9" t="s">
        <v>218</v>
      </c>
      <c r="B127" s="11"/>
      <c r="C127" s="14" t="s">
        <v>219</v>
      </c>
      <c r="D127" s="10"/>
      <c r="E127" s="10"/>
      <c r="F127" s="10"/>
      <c r="G127" s="10"/>
    </row>
    <row r="128" spans="1:7" ht="13">
      <c r="A128" s="12"/>
      <c r="B128" s="13" t="s">
        <v>217</v>
      </c>
      <c r="C128" s="10"/>
      <c r="D128" s="10"/>
      <c r="E128" s="10"/>
      <c r="F128" s="10"/>
      <c r="G128" s="10"/>
    </row>
    <row r="129" spans="1:7" ht="13">
      <c r="A129" s="13" t="s">
        <v>220</v>
      </c>
      <c r="B129" s="14"/>
      <c r="C129" s="10"/>
      <c r="D129" s="10"/>
      <c r="E129" s="10"/>
      <c r="F129" s="10"/>
      <c r="G129" s="10"/>
    </row>
    <row r="130" spans="1:7" ht="13">
      <c r="A130" s="14"/>
      <c r="B130" s="10"/>
      <c r="C130" s="10"/>
      <c r="D130" s="10"/>
      <c r="E130" s="10"/>
      <c r="F130" s="10"/>
      <c r="G130" s="10"/>
    </row>
    <row r="131" spans="1:7" ht="13">
      <c r="A131" s="15" t="s">
        <v>88</v>
      </c>
    </row>
    <row r="132" spans="1:7" ht="13">
      <c r="A132" s="16" t="s">
        <v>221</v>
      </c>
    </row>
    <row r="133" spans="1:7" ht="13">
      <c r="A133" s="16" t="s">
        <v>222</v>
      </c>
    </row>
  </sheetData>
  <hyperlinks>
    <hyperlink ref="A132" r:id="rId1" xr:uid="{00000000-0004-0000-0200-000000000000}"/>
    <hyperlink ref="A133" r:id="rId2" xr:uid="{00000000-0004-0000-02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69"/>
  <sheetViews>
    <sheetView workbookViewId="0"/>
  </sheetViews>
  <sheetFormatPr baseColWidth="10" defaultColWidth="12.6640625" defaultRowHeight="15.75" customHeight="1"/>
  <sheetData>
    <row r="1" spans="1:12" ht="15.75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I1" s="1" t="s">
        <v>1</v>
      </c>
      <c r="J1" s="1" t="s">
        <v>2</v>
      </c>
      <c r="K1" s="1" t="s">
        <v>3</v>
      </c>
      <c r="L1" s="1" t="s">
        <v>4</v>
      </c>
    </row>
    <row r="2" spans="1:12" ht="15.75" customHeight="1">
      <c r="A2" s="3"/>
      <c r="B2" s="3"/>
      <c r="C2" s="3"/>
      <c r="D2" s="3"/>
      <c r="E2" s="3"/>
      <c r="F2" s="3"/>
      <c r="H2" s="1">
        <v>1</v>
      </c>
      <c r="I2" s="1" t="str">
        <f t="shared" ref="I2:I17" ca="1" si="0">INDIRECT("A" &amp; (3 + ($H2-1)*4))</f>
        <v>(1) LARRAZABAL ALEXA
NTP / PHI</v>
      </c>
      <c r="J2" s="1" t="str">
        <f t="shared" ref="J2:J17" ca="1" si="1">INDIRECT("A" &amp; (5 + ($H2-1)*4))</f>
        <v>(32) SIA SARAH-INGRID AURELIA
RF / PHI</v>
      </c>
      <c r="K2" s="1" t="str">
        <f t="shared" ref="K2:K17" ca="1" si="2">INDIRECT("B" &amp; (4 + ($H2-1)*4))</f>
        <v>(1) LARRAZABAL ALEXA</v>
      </c>
      <c r="L2" s="1" t="str">
        <f t="shared" ref="L2:L17" ca="1" si="3">INDIRECT("B" &amp; (5 + ($H2-1)*4))</f>
        <v>15 - 4</v>
      </c>
    </row>
    <row r="3" spans="1:12" ht="15.75" customHeight="1">
      <c r="A3" s="4" t="s">
        <v>10</v>
      </c>
      <c r="B3" s="3"/>
      <c r="C3" s="3"/>
      <c r="D3" s="3"/>
      <c r="E3" s="3"/>
      <c r="F3" s="3"/>
      <c r="H3" s="1">
        <v>2</v>
      </c>
      <c r="I3" s="1" t="str">
        <f t="shared" ca="1" si="0"/>
        <v>(17) ONG JICKLE CLAIN
CF / PHI</v>
      </c>
      <c r="J3" s="1" t="str">
        <f t="shared" ca="1" si="1"/>
        <v>(16) MANAOIS IRISH
UE / PHI</v>
      </c>
      <c r="K3" s="1" t="str">
        <f t="shared" ca="1" si="2"/>
        <v>(16) ONG JICKLE CLAIN</v>
      </c>
      <c r="L3" s="1" t="str">
        <f t="shared" ca="1" si="3"/>
        <v>15 - 14</v>
      </c>
    </row>
    <row r="4" spans="1:12" ht="15.75" customHeight="1">
      <c r="A4" s="5"/>
      <c r="B4" s="4" t="s">
        <v>11</v>
      </c>
      <c r="C4" s="3"/>
      <c r="D4" s="3"/>
      <c r="E4" s="3"/>
      <c r="F4" s="3"/>
      <c r="H4" s="1">
        <v>3</v>
      </c>
      <c r="I4" s="1" t="str">
        <f t="shared" ca="1" si="0"/>
        <v>(9) TRINIDAD SOLANA MAYUMI
EZKRIMA / PHI</v>
      </c>
      <c r="J4" s="1" t="str">
        <f t="shared" ca="1" si="1"/>
        <v>(24) GEPUELA CATHERINE THERESE
UP / PHI</v>
      </c>
      <c r="K4" s="1" t="str">
        <f t="shared" ca="1" si="2"/>
        <v>(9) TRINIDAD SOLANA MAYUMI</v>
      </c>
      <c r="L4" s="1" t="str">
        <f t="shared" ca="1" si="3"/>
        <v>15 - 13</v>
      </c>
    </row>
    <row r="5" spans="1:12" ht="15.75" customHeight="1">
      <c r="A5" s="6" t="s">
        <v>223</v>
      </c>
      <c r="B5" s="5" t="s">
        <v>82</v>
      </c>
      <c r="C5" s="3"/>
      <c r="D5" s="3"/>
      <c r="E5" s="3"/>
      <c r="F5" s="3"/>
      <c r="H5" s="1">
        <v>4</v>
      </c>
      <c r="I5" s="1" t="str">
        <f t="shared" ca="1" si="0"/>
        <v>(25) BARRIENTOS ANDREA
HCFC / PHI</v>
      </c>
      <c r="J5" s="1" t="str">
        <f t="shared" ca="1" si="1"/>
        <v>(8) HARRISON ASHLEY MAE MICHELLE
NTP / PHI</v>
      </c>
      <c r="K5" s="1" t="str">
        <f t="shared" ca="1" si="2"/>
        <v>(8) HARRISON ASHLEY MAE MICHELLE</v>
      </c>
      <c r="L5" s="1" t="str">
        <f t="shared" ca="1" si="3"/>
        <v>15 - 3</v>
      </c>
    </row>
    <row r="6" spans="1:12" ht="15.75" customHeight="1">
      <c r="A6" s="7"/>
      <c r="B6" s="8"/>
      <c r="C6" s="4" t="s">
        <v>11</v>
      </c>
      <c r="D6" s="3"/>
      <c r="E6" s="3"/>
      <c r="F6" s="3"/>
      <c r="H6" s="1">
        <v>5</v>
      </c>
      <c r="I6" s="1" t="str">
        <f t="shared" ca="1" si="0"/>
        <v>(5) SCHOFIELD CYRYLLE ANNE
UE / PHI</v>
      </c>
      <c r="J6" s="1" t="str">
        <f t="shared" ca="1" si="1"/>
        <v>(28) SANDOVAL JUSTA ANDREA
CF / PHI</v>
      </c>
      <c r="K6" s="1" t="str">
        <f t="shared" ca="1" si="2"/>
        <v>(5) SCHOFIELD CYRYLLE ANNE</v>
      </c>
      <c r="L6" s="1" t="str">
        <f t="shared" ca="1" si="3"/>
        <v>15 - 11</v>
      </c>
    </row>
    <row r="7" spans="1:12" ht="15.75" customHeight="1">
      <c r="A7" s="4" t="s">
        <v>224</v>
      </c>
      <c r="B7" s="8"/>
      <c r="C7" s="5" t="s">
        <v>225</v>
      </c>
      <c r="D7" s="3"/>
      <c r="E7" s="3"/>
      <c r="F7" s="3"/>
      <c r="H7" s="1">
        <v>6</v>
      </c>
      <c r="I7" s="1" t="str">
        <f t="shared" ca="1" si="0"/>
        <v>(21) TORRE PAPINA MARGUERITE
AF / PHI</v>
      </c>
      <c r="J7" s="1" t="str">
        <f t="shared" ca="1" si="1"/>
        <v>(12) BUSTOS MICKYLE REIN
RF / PHI</v>
      </c>
      <c r="K7" s="1" t="str">
        <f t="shared" ca="1" si="2"/>
        <v>(12) BUSTOS MICKYLE REIN</v>
      </c>
      <c r="L7" s="1" t="str">
        <f t="shared" ca="1" si="3"/>
        <v>15 - 6</v>
      </c>
    </row>
    <row r="8" spans="1:12" ht="15.75" customHeight="1">
      <c r="A8" s="5"/>
      <c r="B8" s="6" t="s">
        <v>16</v>
      </c>
      <c r="C8" s="8"/>
      <c r="D8" s="3"/>
      <c r="E8" s="3"/>
      <c r="F8" s="3"/>
      <c r="H8" s="1">
        <v>7</v>
      </c>
      <c r="I8" s="1" t="str">
        <f t="shared" ca="1" si="0"/>
        <v>(13) CANLAS NINA DOMINIQUE
UE / PHI</v>
      </c>
      <c r="J8" s="1" t="str">
        <f t="shared" ca="1" si="1"/>
        <v>(20) SYKAT ROBYN NOELLE
RF / PHI</v>
      </c>
      <c r="K8" s="1" t="str">
        <f t="shared" ca="1" si="2"/>
        <v>(13) CANLAS NINA DOMINIQUE</v>
      </c>
      <c r="L8" s="1" t="str">
        <f t="shared" ca="1" si="3"/>
        <v>15 - 8</v>
      </c>
    </row>
    <row r="9" spans="1:12" ht="15.75" customHeight="1">
      <c r="A9" s="6" t="s">
        <v>226</v>
      </c>
      <c r="B9" s="7" t="s">
        <v>99</v>
      </c>
      <c r="C9" s="8"/>
      <c r="D9" s="3"/>
      <c r="E9" s="3"/>
      <c r="F9" s="3"/>
      <c r="H9" s="1">
        <v>8</v>
      </c>
      <c r="I9" s="1" t="str">
        <f t="shared" ca="1" si="0"/>
        <v>(29) DELA CRUZ CHIARA MICHAELA
UPFC / PHI</v>
      </c>
      <c r="J9" s="1" t="str">
        <f t="shared" ca="1" si="1"/>
        <v>(4) ABELLA HANNIEL
NTP / PHI</v>
      </c>
      <c r="K9" s="1" t="str">
        <f t="shared" ca="1" si="2"/>
        <v>(4) ABELLA HANNIEL</v>
      </c>
      <c r="L9" s="1" t="str">
        <f t="shared" ca="1" si="3"/>
        <v>15 - 7</v>
      </c>
    </row>
    <row r="10" spans="1:12" ht="15.75" customHeight="1">
      <c r="A10" s="7"/>
      <c r="B10" s="3"/>
      <c r="C10" s="8"/>
      <c r="D10" s="4" t="s">
        <v>11</v>
      </c>
      <c r="E10" s="3"/>
      <c r="F10" s="3"/>
      <c r="H10" s="1">
        <v>9</v>
      </c>
      <c r="I10" s="1" t="str">
        <f t="shared" ca="1" si="0"/>
        <v>(3) GOMEZ JULIANA MA. BEATRICE
MP / PHI</v>
      </c>
      <c r="J10" s="1" t="str">
        <f t="shared" ca="1" si="1"/>
        <v>(30) TAPALES ENDIRAJ MARGARET
UP / PHI</v>
      </c>
      <c r="K10" s="1" t="str">
        <f t="shared" ca="1" si="2"/>
        <v>(3) GOMEZ JULIANA MA. BEATRICE</v>
      </c>
      <c r="L10" s="1" t="str">
        <f t="shared" ca="1" si="3"/>
        <v>15 - 14</v>
      </c>
    </row>
    <row r="11" spans="1:12" ht="15.75" customHeight="1">
      <c r="A11" s="4" t="s">
        <v>227</v>
      </c>
      <c r="B11" s="3"/>
      <c r="C11" s="8"/>
      <c r="D11" s="5" t="s">
        <v>228</v>
      </c>
      <c r="E11" s="3"/>
      <c r="F11" s="3"/>
      <c r="H11" s="1">
        <v>10</v>
      </c>
      <c r="I11" s="1" t="str">
        <f t="shared" ca="1" si="0"/>
        <v>(19) NORO NAMI
UP / PHI</v>
      </c>
      <c r="J11" s="1" t="str">
        <f t="shared" ca="1" si="1"/>
        <v>(14) RAGOT MIKAELA NICOLE
UE / PHI</v>
      </c>
      <c r="K11" s="1" t="str">
        <f t="shared" ca="1" si="2"/>
        <v>(14) NORO NAMI</v>
      </c>
      <c r="L11" s="1" t="str">
        <f t="shared" ca="1" si="3"/>
        <v>15 - 9</v>
      </c>
    </row>
    <row r="12" spans="1:12" ht="15.75" customHeight="1">
      <c r="A12" s="5"/>
      <c r="B12" s="4" t="s">
        <v>229</v>
      </c>
      <c r="C12" s="8"/>
      <c r="D12" s="8"/>
      <c r="E12" s="3"/>
      <c r="F12" s="3"/>
      <c r="H12" s="1">
        <v>11</v>
      </c>
      <c r="I12" s="1" t="str">
        <f t="shared" ca="1" si="0"/>
        <v>(11) DELOS SANTOS JAYMI
NTP / PHI</v>
      </c>
      <c r="J12" s="1" t="str">
        <f t="shared" ca="1" si="1"/>
        <v>(22) BUENO MARIA KRISTINA ANGELA
CF / PHI</v>
      </c>
      <c r="K12" s="1" t="str">
        <f t="shared" ca="1" si="2"/>
        <v>(11) BUENO MARIA KRISTINA ANGELA</v>
      </c>
      <c r="L12" s="1" t="str">
        <f t="shared" ca="1" si="3"/>
        <v>15 - 14</v>
      </c>
    </row>
    <row r="13" spans="1:12" ht="15.75" customHeight="1">
      <c r="A13" s="6" t="s">
        <v>230</v>
      </c>
      <c r="B13" s="5" t="s">
        <v>23</v>
      </c>
      <c r="C13" s="8"/>
      <c r="D13" s="8"/>
      <c r="E13" s="3"/>
      <c r="F13" s="3"/>
      <c r="H13" s="1">
        <v>12</v>
      </c>
      <c r="I13" s="1" t="str">
        <f t="shared" ca="1" si="0"/>
        <v>(27) MARTINEZ TASHA ISABELLA
HCFC / PHI</v>
      </c>
      <c r="J13" s="1" t="str">
        <f t="shared" ca="1" si="1"/>
        <v>(6) VERGARA CYRRA
DLSU / PHI</v>
      </c>
      <c r="K13" s="1" t="str">
        <f t="shared" ca="1" si="2"/>
        <v>(6) VERGARA CYRRA</v>
      </c>
      <c r="L13" s="1" t="str">
        <f t="shared" ca="1" si="3"/>
        <v>15 - 12</v>
      </c>
    </row>
    <row r="14" spans="1:12" ht="15.75" customHeight="1">
      <c r="A14" s="7"/>
      <c r="B14" s="8"/>
      <c r="C14" s="6" t="s">
        <v>231</v>
      </c>
      <c r="D14" s="8"/>
      <c r="E14" s="3"/>
      <c r="F14" s="3"/>
      <c r="H14" s="1">
        <v>13</v>
      </c>
      <c r="I14" s="1" t="str">
        <f t="shared" ca="1" si="0"/>
        <v>(7) SALVADOR IVANA
CF / PHI</v>
      </c>
      <c r="J14" s="1" t="str">
        <f t="shared" ca="1" si="1"/>
        <v>(26) FELICIANO SUMMER LUCINE
AF / PHI</v>
      </c>
      <c r="K14" s="1" t="str">
        <f t="shared" ca="1" si="2"/>
        <v>(7) SALVADOR IVANA</v>
      </c>
      <c r="L14" s="1" t="str">
        <f t="shared" ca="1" si="3"/>
        <v>15 - 3</v>
      </c>
    </row>
    <row r="15" spans="1:12" ht="15.75" customHeight="1">
      <c r="A15" s="4" t="s">
        <v>232</v>
      </c>
      <c r="B15" s="8"/>
      <c r="C15" s="7" t="s">
        <v>233</v>
      </c>
      <c r="D15" s="8"/>
      <c r="E15" s="3"/>
      <c r="F15" s="3"/>
      <c r="H15" s="1">
        <v>14</v>
      </c>
      <c r="I15" s="1" t="str">
        <f t="shared" ca="1" si="0"/>
        <v>(23) FLORES MARIEL ELIANNE
UP / PHI</v>
      </c>
      <c r="J15" s="1" t="str">
        <f t="shared" ca="1" si="1"/>
        <v>(10) EDNILAG KRUPS KAYA
DLSU / PHI</v>
      </c>
      <c r="K15" s="1" t="str">
        <f t="shared" ca="1" si="2"/>
        <v>(10) EDNILAG KRUPS KAYA</v>
      </c>
      <c r="L15" s="1" t="str">
        <f t="shared" ca="1" si="3"/>
        <v>15 - 11</v>
      </c>
    </row>
    <row r="16" spans="1:12" ht="15.75" customHeight="1">
      <c r="A16" s="5"/>
      <c r="B16" s="6" t="s">
        <v>231</v>
      </c>
      <c r="C16" s="3"/>
      <c r="D16" s="8"/>
      <c r="E16" s="3"/>
      <c r="F16" s="3"/>
      <c r="H16" s="1">
        <v>15</v>
      </c>
      <c r="I16" s="1" t="str">
        <f t="shared" ca="1" si="0"/>
        <v>(15) MATIAS ANDREA JENNELLE
UE / PHI</v>
      </c>
      <c r="J16" s="1" t="str">
        <f t="shared" ca="1" si="1"/>
        <v>(18) MENDOZA JENNINA
UP / PHI</v>
      </c>
      <c r="K16" s="1" t="str">
        <f t="shared" ca="1" si="2"/>
        <v>(15) MATIAS ANDREA JENNELLE</v>
      </c>
      <c r="L16" s="1" t="str">
        <f t="shared" ca="1" si="3"/>
        <v>15 - 12</v>
      </c>
    </row>
    <row r="17" spans="1:12" ht="15.75" customHeight="1">
      <c r="A17" s="6" t="s">
        <v>234</v>
      </c>
      <c r="B17" s="7" t="s">
        <v>235</v>
      </c>
      <c r="C17" s="3"/>
      <c r="D17" s="8"/>
      <c r="E17" s="3"/>
      <c r="F17" s="3"/>
      <c r="H17" s="1">
        <v>16</v>
      </c>
      <c r="I17" s="1" t="str">
        <f t="shared" ca="1" si="0"/>
        <v>(31) JUNIA ELEINA MARGUERITE
AF / PHI</v>
      </c>
      <c r="J17" s="1" t="str">
        <f t="shared" ca="1" si="1"/>
        <v>(2) DINOY IVY CLAIRE
MP / PHI</v>
      </c>
      <c r="K17" s="1" t="str">
        <f t="shared" ca="1" si="2"/>
        <v>(2) DINOY IVY CLAIRE</v>
      </c>
      <c r="L17" s="1" t="str">
        <f t="shared" ca="1" si="3"/>
        <v>15 - 5</v>
      </c>
    </row>
    <row r="18" spans="1:12" ht="15.75" customHeight="1">
      <c r="A18" s="7"/>
      <c r="B18" s="3"/>
      <c r="C18" s="3"/>
      <c r="D18" s="8"/>
      <c r="E18" s="4" t="s">
        <v>236</v>
      </c>
      <c r="F18" s="3"/>
      <c r="H18" s="1">
        <v>1</v>
      </c>
      <c r="I18" s="1" t="str">
        <f t="shared" ref="I18:I25" ca="1" si="4">INDIRECT("B" &amp; (4 + ($H18-1)*4))</f>
        <v>(1) LARRAZABAL ALEXA</v>
      </c>
      <c r="J18" s="1" t="str">
        <f t="shared" ref="J18:J25" ca="1" si="5">INDIRECT("B" &amp; (8 + ($H18-1)*4))</f>
        <v>(16) ONG JICKLE CLAIN</v>
      </c>
      <c r="K18" s="1" t="str">
        <f t="shared" ref="K18:K25" ca="1" si="6">INDIRECT("C" &amp; (6 + ($H18-1)*4))</f>
        <v>(1) LARRAZABAL ALEXA</v>
      </c>
      <c r="L18" s="1" t="str">
        <f t="shared" ref="L18:L25" ca="1" si="7">INDIRECT("C" &amp; (7 + ($H18-1)*4))</f>
        <v>15 - 13
11:45 AM</v>
      </c>
    </row>
    <row r="19" spans="1:12" ht="15.75" customHeight="1">
      <c r="A19" s="9" t="s">
        <v>237</v>
      </c>
      <c r="B19" s="10"/>
      <c r="C19" s="10"/>
      <c r="D19" s="11"/>
      <c r="E19" s="12" t="s">
        <v>238</v>
      </c>
      <c r="F19" s="10"/>
      <c r="H19" s="1">
        <v>3</v>
      </c>
      <c r="I19" s="1" t="str">
        <f t="shared" ca="1" si="4"/>
        <v>(9) TRINIDAD SOLANA MAYUMI</v>
      </c>
      <c r="J19" s="1" t="str">
        <f t="shared" ca="1" si="5"/>
        <v>(8) HARRISON ASHLEY MAE MICHELLE</v>
      </c>
      <c r="K19" s="1" t="str">
        <f t="shared" ca="1" si="6"/>
        <v>(8) HARRISON ASHLEY MAE MICHELLE</v>
      </c>
      <c r="L19" s="1" t="str">
        <f t="shared" ca="1" si="7"/>
        <v>15 - 6
11:54 AM</v>
      </c>
    </row>
    <row r="20" spans="1:12" ht="15.75" customHeight="1">
      <c r="A20" s="12"/>
      <c r="B20" s="9" t="s">
        <v>239</v>
      </c>
      <c r="C20" s="10"/>
      <c r="D20" s="11"/>
      <c r="E20" s="11"/>
      <c r="F20" s="10"/>
      <c r="H20" s="1">
        <v>5</v>
      </c>
      <c r="I20" s="1" t="str">
        <f t="shared" ca="1" si="4"/>
        <v>(5) SCHOFIELD CYRYLLE ANNE</v>
      </c>
      <c r="J20" s="1" t="str">
        <f t="shared" ca="1" si="5"/>
        <v>(12) BUSTOS MICKYLE REIN</v>
      </c>
      <c r="K20" s="1" t="str">
        <f t="shared" ca="1" si="6"/>
        <v>(5) BUSTOS MICKYLE REIN</v>
      </c>
      <c r="L20" s="1" t="str">
        <f t="shared" ca="1" si="7"/>
        <v>15 - 9
11:47 AM</v>
      </c>
    </row>
    <row r="21" spans="1:12" ht="15.75" customHeight="1">
      <c r="A21" s="13" t="s">
        <v>240</v>
      </c>
      <c r="B21" s="12" t="s">
        <v>63</v>
      </c>
      <c r="C21" s="10"/>
      <c r="D21" s="11"/>
      <c r="E21" s="11"/>
      <c r="F21" s="10"/>
      <c r="H21" s="1">
        <v>7</v>
      </c>
      <c r="I21" s="1" t="str">
        <f t="shared" ca="1" si="4"/>
        <v>(13) CANLAS NINA DOMINIQUE</v>
      </c>
      <c r="J21" s="1" t="str">
        <f t="shared" ca="1" si="5"/>
        <v>(4) ABELLA HANNIEL</v>
      </c>
      <c r="K21" s="1" t="str">
        <f t="shared" ca="1" si="6"/>
        <v>(4) ABELLA HANNIEL</v>
      </c>
      <c r="L21" s="1" t="str">
        <f t="shared" ca="1" si="7"/>
        <v>15 - 9
11:52 AM</v>
      </c>
    </row>
    <row r="22" spans="1:12" ht="15.75" customHeight="1">
      <c r="A22" s="14"/>
      <c r="B22" s="11"/>
      <c r="C22" s="9" t="s">
        <v>241</v>
      </c>
      <c r="D22" s="11"/>
      <c r="E22" s="11"/>
      <c r="F22" s="10"/>
      <c r="H22" s="1">
        <v>9</v>
      </c>
      <c r="I22" s="1" t="str">
        <f t="shared" ca="1" si="4"/>
        <v>(3) GOMEZ JULIANA MA. BEATRICE</v>
      </c>
      <c r="J22" s="1" t="str">
        <f t="shared" ca="1" si="5"/>
        <v>(14) NORO NAMI</v>
      </c>
      <c r="K22" s="1" t="str">
        <f t="shared" ca="1" si="6"/>
        <v>(3) GOMEZ JULIANA MA. BEATRICE</v>
      </c>
      <c r="L22" s="1" t="str">
        <f t="shared" ca="1" si="7"/>
        <v>15 - 7
12:16 PM</v>
      </c>
    </row>
    <row r="23" spans="1:12" ht="15.75" customHeight="1">
      <c r="A23" s="9" t="s">
        <v>242</v>
      </c>
      <c r="B23" s="11"/>
      <c r="C23" s="12" t="s">
        <v>243</v>
      </c>
      <c r="D23" s="11"/>
      <c r="E23" s="11"/>
      <c r="F23" s="10"/>
      <c r="H23" s="1">
        <v>11</v>
      </c>
      <c r="I23" s="1" t="str">
        <f t="shared" ca="1" si="4"/>
        <v>(11) BUENO MARIA KRISTINA ANGELA</v>
      </c>
      <c r="J23" s="1" t="str">
        <f t="shared" ca="1" si="5"/>
        <v>(6) VERGARA CYRRA</v>
      </c>
      <c r="K23" s="1" t="str">
        <f t="shared" ca="1" si="6"/>
        <v>(6) VERGARA CYRRA</v>
      </c>
      <c r="L23" s="1" t="str">
        <f t="shared" ca="1" si="7"/>
        <v>15 - 10
12:14 PM</v>
      </c>
    </row>
    <row r="24" spans="1:12" ht="15.75" customHeight="1">
      <c r="A24" s="12"/>
      <c r="B24" s="13" t="s">
        <v>244</v>
      </c>
      <c r="C24" s="11"/>
      <c r="D24" s="11"/>
      <c r="E24" s="11"/>
      <c r="F24" s="10"/>
      <c r="H24" s="1">
        <v>13</v>
      </c>
      <c r="I24" s="1" t="str">
        <f t="shared" ca="1" si="4"/>
        <v>(7) SALVADOR IVANA</v>
      </c>
      <c r="J24" s="1" t="str">
        <f t="shared" ca="1" si="5"/>
        <v>(10) EDNILAG KRUPS KAYA</v>
      </c>
      <c r="K24" s="1" t="str">
        <f t="shared" ca="1" si="6"/>
        <v>(7) SALVADOR IVANA</v>
      </c>
      <c r="L24" s="1" t="str">
        <f t="shared" ca="1" si="7"/>
        <v>15 - 10
12:12 PM</v>
      </c>
    </row>
    <row r="25" spans="1:12" ht="15.75" customHeight="1">
      <c r="A25" s="13" t="s">
        <v>245</v>
      </c>
      <c r="B25" s="14" t="s">
        <v>132</v>
      </c>
      <c r="C25" s="11"/>
      <c r="D25" s="11"/>
      <c r="E25" s="11"/>
      <c r="F25" s="10"/>
      <c r="H25" s="1">
        <v>15</v>
      </c>
      <c r="I25" s="1" t="str">
        <f t="shared" ca="1" si="4"/>
        <v>(15) MATIAS ANDREA JENNELLE</v>
      </c>
      <c r="J25" s="1" t="str">
        <f t="shared" ca="1" si="5"/>
        <v>(2) DINOY IVY CLAIRE</v>
      </c>
      <c r="K25" s="1" t="str">
        <f t="shared" ca="1" si="6"/>
        <v>(2) DINOY IVY CLAIRE</v>
      </c>
      <c r="L25" s="1" t="str">
        <f t="shared" ca="1" si="7"/>
        <v>15 - 8
12:14 PM</v>
      </c>
    </row>
    <row r="26" spans="1:12" ht="15.75" customHeight="1">
      <c r="A26" s="14"/>
      <c r="B26" s="10"/>
      <c r="C26" s="11"/>
      <c r="D26" s="13" t="s">
        <v>246</v>
      </c>
      <c r="E26" s="11"/>
      <c r="F26" s="10"/>
      <c r="H26" s="1">
        <v>1</v>
      </c>
      <c r="I26" s="1" t="str">
        <f t="shared" ref="I26:I29" ca="1" si="8">INDIRECT("C" &amp; (6 + ($H26-1)*4))</f>
        <v>(1) LARRAZABAL ALEXA</v>
      </c>
      <c r="J26" s="1" t="str">
        <f t="shared" ref="J26:J29" ca="1" si="9">INDIRECT("C" &amp; (14 + ($H26-1)*4))</f>
        <v>(8) HARRISON ASHLEY MAE MICHELLE</v>
      </c>
      <c r="K26" s="1" t="str">
        <f t="shared" ref="K26:K29" ca="1" si="10">INDIRECT("D" &amp; (10 + ($H26-1)*4))</f>
        <v>(1) LARRAZABAL ALEXA</v>
      </c>
      <c r="L26" s="1" t="str">
        <f t="shared" ref="L26:L29" ca="1" si="11">INDIRECT("D" &amp; (11 + ($H26-1)*4))</f>
        <v>15 - 8
12:49 PM</v>
      </c>
    </row>
    <row r="27" spans="1:12" ht="15.75" customHeight="1">
      <c r="A27" s="9" t="s">
        <v>247</v>
      </c>
      <c r="B27" s="10"/>
      <c r="C27" s="11"/>
      <c r="D27" s="14" t="s">
        <v>248</v>
      </c>
      <c r="E27" s="11"/>
      <c r="F27" s="10"/>
      <c r="H27" s="1">
        <v>5</v>
      </c>
      <c r="I27" s="1" t="str">
        <f t="shared" ca="1" si="8"/>
        <v>(5) BUSTOS MICKYLE REIN</v>
      </c>
      <c r="J27" s="1" t="str">
        <f t="shared" ca="1" si="9"/>
        <v>(4) ABELLA HANNIEL</v>
      </c>
      <c r="K27" s="1" t="str">
        <f t="shared" ca="1" si="10"/>
        <v>(4) ABELLA HANNIEL</v>
      </c>
      <c r="L27" s="1" t="str">
        <f t="shared" ca="1" si="11"/>
        <v>15 - 11
12:47 PM</v>
      </c>
    </row>
    <row r="28" spans="1:12" ht="15.75" customHeight="1">
      <c r="A28" s="12"/>
      <c r="B28" s="9" t="s">
        <v>249</v>
      </c>
      <c r="C28" s="11"/>
      <c r="D28" s="10"/>
      <c r="E28" s="11"/>
      <c r="F28" s="10"/>
      <c r="H28" s="1">
        <v>9</v>
      </c>
      <c r="I28" s="1" t="str">
        <f t="shared" ca="1" si="8"/>
        <v>(3) GOMEZ JULIANA MA. BEATRICE</v>
      </c>
      <c r="J28" s="1" t="str">
        <f t="shared" ca="1" si="9"/>
        <v>(6) VERGARA CYRRA</v>
      </c>
      <c r="K28" s="1" t="str">
        <f t="shared" ca="1" si="10"/>
        <v>(3) GOMEZ JULIANA MA. BEATRICE</v>
      </c>
      <c r="L28" s="1" t="str">
        <f t="shared" ca="1" si="11"/>
        <v>15 - 14
12:50 PM</v>
      </c>
    </row>
    <row r="29" spans="1:12" ht="15.75" customHeight="1">
      <c r="A29" s="13" t="s">
        <v>250</v>
      </c>
      <c r="B29" s="12" t="s">
        <v>18</v>
      </c>
      <c r="C29" s="11"/>
      <c r="D29" s="10"/>
      <c r="E29" s="11"/>
      <c r="F29" s="10"/>
      <c r="H29" s="1">
        <v>13</v>
      </c>
      <c r="I29" s="1" t="str">
        <f t="shared" ca="1" si="8"/>
        <v>(7) SALVADOR IVANA</v>
      </c>
      <c r="J29" s="1" t="str">
        <f t="shared" ca="1" si="9"/>
        <v>(2) DINOY IVY CLAIRE</v>
      </c>
      <c r="K29" s="1" t="str">
        <f t="shared" ca="1" si="10"/>
        <v>(2) DINOY IVY CLAIRE</v>
      </c>
      <c r="L29" s="1" t="str">
        <f t="shared" ca="1" si="11"/>
        <v>15 - 1
12:49 PM</v>
      </c>
    </row>
    <row r="30" spans="1:12" ht="15.75" customHeight="1">
      <c r="A30" s="14"/>
      <c r="B30" s="11"/>
      <c r="C30" s="13" t="s">
        <v>246</v>
      </c>
      <c r="D30" s="10"/>
      <c r="E30" s="11"/>
      <c r="F30" s="10"/>
      <c r="H30" s="1">
        <v>1</v>
      </c>
      <c r="I30" s="1" t="str">
        <f t="shared" ref="I30:I31" ca="1" si="12">INDIRECT("D" &amp; (10 + ($H30-1)*4))</f>
        <v>(1) LARRAZABAL ALEXA</v>
      </c>
      <c r="J30" s="1" t="str">
        <f t="shared" ref="J30:J31" ca="1" si="13">INDIRECT("D" &amp; (26 + ($H30-1)*4))</f>
        <v>(4) ABELLA HANNIEL</v>
      </c>
      <c r="K30" s="1" t="str">
        <f t="shared" ref="K30:K31" ca="1" si="14">INDIRECT("E" &amp; (18 + ($H30-1)*4))</f>
        <v>(1) ABELLA HANNIEL</v>
      </c>
      <c r="L30" s="1" t="str">
        <f t="shared" ref="L30:L31" ca="1" si="15">INDIRECT("E" &amp; (19 + ($H30-1)*4))</f>
        <v>15 - 12
1:17 PM</v>
      </c>
    </row>
    <row r="31" spans="1:12" ht="15.75" customHeight="1">
      <c r="A31" s="9" t="s">
        <v>251</v>
      </c>
      <c r="B31" s="11"/>
      <c r="C31" s="14" t="s">
        <v>252</v>
      </c>
      <c r="D31" s="10"/>
      <c r="E31" s="11"/>
      <c r="F31" s="10"/>
      <c r="H31" s="1">
        <v>9</v>
      </c>
      <c r="I31" s="1" t="str">
        <f t="shared" ca="1" si="12"/>
        <v>(3) GOMEZ JULIANA MA. BEATRICE</v>
      </c>
      <c r="J31" s="1" t="str">
        <f t="shared" ca="1" si="13"/>
        <v>(2) DINOY IVY CLAIRE</v>
      </c>
      <c r="K31" s="1" t="str">
        <f t="shared" ca="1" si="14"/>
        <v>(2) DINOY IVY CLAIRE</v>
      </c>
      <c r="L31" s="1" t="str">
        <f t="shared" ca="1" si="15"/>
        <v>12 - 11
1:15 PM</v>
      </c>
    </row>
    <row r="32" spans="1:12" ht="15.75" customHeight="1">
      <c r="A32" s="12"/>
      <c r="B32" s="13" t="s">
        <v>246</v>
      </c>
      <c r="C32" s="10"/>
      <c r="D32" s="10"/>
      <c r="E32" s="11"/>
      <c r="F32" s="10"/>
      <c r="H32" s="1">
        <v>1</v>
      </c>
      <c r="I32" s="1" t="str">
        <f t="array" aca="1" ref="I32" ca="1">INDIRECT("E" &amp; (18 + ($H32-1)*4))</f>
        <v>(1) ABELLA HANNIEL</v>
      </c>
      <c r="J32" s="1" t="str">
        <f t="array" aca="1" ref="J32" ca="1">INDIRECT("E" &amp; (50 + ($H32-1)*4))</f>
        <v>(2) DINOY IVY CLAIRE</v>
      </c>
      <c r="K32" s="1" t="str">
        <f t="array" aca="1" ref="K32" ca="1">INDIRECT("F" &amp; (34 + ($H32-1)*4))</f>
        <v>(1) DINOY IVY CLAIRE</v>
      </c>
      <c r="L32" s="1" t="str">
        <f t="array" aca="1" ref="L32" ca="1">INDIRECT("F" &amp; (35 + ($H32-1)*4))</f>
        <v>12 - 6
1:46 PM Strip F</v>
      </c>
    </row>
    <row r="33" spans="1:6" ht="15.75" customHeight="1">
      <c r="A33" s="13" t="s">
        <v>253</v>
      </c>
      <c r="B33" s="14" t="s">
        <v>58</v>
      </c>
      <c r="C33" s="10"/>
      <c r="D33" s="10"/>
      <c r="E33" s="11"/>
      <c r="F33" s="10"/>
    </row>
    <row r="34" spans="1:6" ht="15.75" customHeight="1">
      <c r="A34" s="14"/>
      <c r="B34" s="10"/>
      <c r="C34" s="10"/>
      <c r="D34" s="10"/>
      <c r="E34" s="11"/>
      <c r="F34" s="9" t="s">
        <v>254</v>
      </c>
    </row>
    <row r="35" spans="1:6" ht="15.75" customHeight="1">
      <c r="A35" s="4" t="s">
        <v>255</v>
      </c>
      <c r="B35" s="3"/>
      <c r="C35" s="3"/>
      <c r="D35" s="3"/>
      <c r="E35" s="8"/>
      <c r="F35" s="7" t="s">
        <v>256</v>
      </c>
    </row>
    <row r="36" spans="1:6" ht="15.75" customHeight="1">
      <c r="A36" s="5"/>
      <c r="B36" s="4" t="s">
        <v>53</v>
      </c>
      <c r="C36" s="3"/>
      <c r="D36" s="3"/>
      <c r="E36" s="8"/>
      <c r="F36" s="3"/>
    </row>
    <row r="37" spans="1:6" ht="15.75" customHeight="1">
      <c r="A37" s="6" t="s">
        <v>257</v>
      </c>
      <c r="B37" s="5" t="s">
        <v>99</v>
      </c>
      <c r="C37" s="3"/>
      <c r="D37" s="3"/>
      <c r="E37" s="8"/>
      <c r="F37" s="3"/>
    </row>
    <row r="38" spans="1:6" ht="15.75" customHeight="1">
      <c r="A38" s="7"/>
      <c r="B38" s="8"/>
      <c r="C38" s="4" t="s">
        <v>53</v>
      </c>
      <c r="D38" s="3"/>
      <c r="E38" s="8"/>
      <c r="F38" s="3"/>
    </row>
    <row r="39" spans="1:6" ht="15.75" customHeight="1">
      <c r="A39" s="4" t="s">
        <v>258</v>
      </c>
      <c r="B39" s="8"/>
      <c r="C39" s="5" t="s">
        <v>259</v>
      </c>
      <c r="D39" s="3"/>
      <c r="E39" s="8"/>
      <c r="F39" s="3"/>
    </row>
    <row r="40" spans="1:6" ht="15.75" customHeight="1">
      <c r="A40" s="5"/>
      <c r="B40" s="6" t="s">
        <v>260</v>
      </c>
      <c r="C40" s="8"/>
      <c r="D40" s="3"/>
      <c r="E40" s="8"/>
      <c r="F40" s="3"/>
    </row>
    <row r="41" spans="1:6" ht="15.75" customHeight="1">
      <c r="A41" s="6" t="s">
        <v>261</v>
      </c>
      <c r="B41" s="7" t="s">
        <v>47</v>
      </c>
      <c r="C41" s="8"/>
      <c r="D41" s="3"/>
      <c r="E41" s="8"/>
      <c r="F41" s="3"/>
    </row>
    <row r="42" spans="1:6" ht="15.75" customHeight="1">
      <c r="A42" s="7"/>
      <c r="B42" s="3"/>
      <c r="C42" s="8"/>
      <c r="D42" s="4" t="s">
        <v>53</v>
      </c>
      <c r="E42" s="8"/>
      <c r="F42" s="3"/>
    </row>
    <row r="43" spans="1:6" ht="15.75" customHeight="1">
      <c r="A43" s="4" t="s">
        <v>262</v>
      </c>
      <c r="B43" s="3"/>
      <c r="C43" s="8"/>
      <c r="D43" s="5" t="s">
        <v>263</v>
      </c>
      <c r="E43" s="8"/>
      <c r="F43" s="3"/>
    </row>
    <row r="44" spans="1:6" ht="15.75" customHeight="1">
      <c r="A44" s="5"/>
      <c r="B44" s="4" t="s">
        <v>264</v>
      </c>
      <c r="C44" s="8"/>
      <c r="D44" s="8"/>
      <c r="E44" s="8"/>
      <c r="F44" s="3"/>
    </row>
    <row r="45" spans="1:6" ht="15.75" customHeight="1">
      <c r="A45" s="6" t="s">
        <v>265</v>
      </c>
      <c r="B45" s="5" t="s">
        <v>99</v>
      </c>
      <c r="C45" s="8"/>
      <c r="D45" s="8"/>
      <c r="E45" s="8"/>
      <c r="F45" s="3"/>
    </row>
    <row r="46" spans="1:6" ht="15.75" customHeight="1">
      <c r="A46" s="7"/>
      <c r="B46" s="8"/>
      <c r="C46" s="6" t="s">
        <v>266</v>
      </c>
      <c r="D46" s="8"/>
      <c r="E46" s="8"/>
      <c r="F46" s="3"/>
    </row>
    <row r="47" spans="1:6" ht="15.75" customHeight="1">
      <c r="A47" s="4" t="s">
        <v>267</v>
      </c>
      <c r="B47" s="8"/>
      <c r="C47" s="7" t="s">
        <v>268</v>
      </c>
      <c r="D47" s="8"/>
      <c r="E47" s="8"/>
      <c r="F47" s="3"/>
    </row>
    <row r="48" spans="1:6" ht="15.75" customHeight="1">
      <c r="A48" s="5"/>
      <c r="B48" s="6" t="s">
        <v>266</v>
      </c>
      <c r="C48" s="3"/>
      <c r="D48" s="8"/>
      <c r="E48" s="8"/>
      <c r="F48" s="3"/>
    </row>
    <row r="49" spans="1:6" ht="15.75" customHeight="1">
      <c r="A49" s="6" t="s">
        <v>269</v>
      </c>
      <c r="B49" s="7" t="s">
        <v>52</v>
      </c>
      <c r="C49" s="3"/>
      <c r="D49" s="8"/>
      <c r="E49" s="8"/>
      <c r="F49" s="3"/>
    </row>
    <row r="50" spans="1:6" ht="15.75" customHeight="1">
      <c r="A50" s="7"/>
      <c r="B50" s="3"/>
      <c r="C50" s="3"/>
      <c r="D50" s="8"/>
      <c r="E50" s="6" t="s">
        <v>270</v>
      </c>
      <c r="F50" s="3"/>
    </row>
    <row r="51" spans="1:6" ht="15.75" customHeight="1">
      <c r="A51" s="9" t="s">
        <v>271</v>
      </c>
      <c r="B51" s="10"/>
      <c r="C51" s="10"/>
      <c r="D51" s="11"/>
      <c r="E51" s="14" t="s">
        <v>272</v>
      </c>
      <c r="F51" s="10"/>
    </row>
    <row r="52" spans="1:6" ht="15.75" customHeight="1">
      <c r="A52" s="12"/>
      <c r="B52" s="9" t="s">
        <v>273</v>
      </c>
      <c r="C52" s="10"/>
      <c r="D52" s="11"/>
      <c r="E52" s="10"/>
      <c r="F52" s="10"/>
    </row>
    <row r="53" spans="1:6" ht="15.75" customHeight="1">
      <c r="A53" s="13" t="s">
        <v>274</v>
      </c>
      <c r="B53" s="12" t="s">
        <v>235</v>
      </c>
      <c r="C53" s="10"/>
      <c r="D53" s="11"/>
      <c r="E53" s="10"/>
      <c r="F53" s="10"/>
    </row>
    <row r="54" spans="1:6" ht="15.75" customHeight="1">
      <c r="A54" s="14"/>
      <c r="B54" s="11"/>
      <c r="C54" s="9" t="s">
        <v>273</v>
      </c>
      <c r="D54" s="11"/>
      <c r="E54" s="10"/>
      <c r="F54" s="10"/>
    </row>
    <row r="55" spans="1:6" ht="15.75" customHeight="1">
      <c r="A55" s="9" t="s">
        <v>275</v>
      </c>
      <c r="B55" s="11"/>
      <c r="C55" s="12" t="s">
        <v>276</v>
      </c>
      <c r="D55" s="11"/>
      <c r="E55" s="10"/>
      <c r="F55" s="10"/>
    </row>
    <row r="56" spans="1:6" ht="15.75" customHeight="1">
      <c r="A56" s="12"/>
      <c r="B56" s="13" t="s">
        <v>277</v>
      </c>
      <c r="C56" s="11"/>
      <c r="D56" s="11"/>
      <c r="E56" s="10"/>
      <c r="F56" s="10"/>
    </row>
    <row r="57" spans="1:6" ht="15.75" customHeight="1">
      <c r="A57" s="13" t="s">
        <v>278</v>
      </c>
      <c r="B57" s="14" t="s">
        <v>63</v>
      </c>
      <c r="C57" s="11"/>
      <c r="D57" s="11"/>
      <c r="E57" s="10"/>
      <c r="F57" s="10"/>
    </row>
    <row r="58" spans="1:6" ht="15.75" customHeight="1">
      <c r="A58" s="14"/>
      <c r="B58" s="10"/>
      <c r="C58" s="11"/>
      <c r="D58" s="13" t="s">
        <v>270</v>
      </c>
      <c r="E58" s="10"/>
      <c r="F58" s="10"/>
    </row>
    <row r="59" spans="1:6" ht="15.75" customHeight="1">
      <c r="A59" s="9" t="s">
        <v>279</v>
      </c>
      <c r="B59" s="10"/>
      <c r="C59" s="11"/>
      <c r="D59" s="14" t="s">
        <v>280</v>
      </c>
      <c r="E59" s="10"/>
      <c r="F59" s="10"/>
    </row>
    <row r="60" spans="1:6" ht="15.75" customHeight="1">
      <c r="A60" s="12"/>
      <c r="B60" s="9" t="s">
        <v>281</v>
      </c>
      <c r="C60" s="11"/>
      <c r="D60" s="10"/>
      <c r="E60" s="10"/>
      <c r="F60" s="10"/>
    </row>
    <row r="61" spans="1:6" ht="15.75" customHeight="1">
      <c r="A61" s="13" t="s">
        <v>282</v>
      </c>
      <c r="B61" s="12" t="s">
        <v>52</v>
      </c>
      <c r="C61" s="11"/>
      <c r="D61" s="10"/>
      <c r="E61" s="10"/>
      <c r="F61" s="10"/>
    </row>
    <row r="62" spans="1:6" ht="15.75" customHeight="1">
      <c r="A62" s="14"/>
      <c r="B62" s="11"/>
      <c r="C62" s="13" t="s">
        <v>270</v>
      </c>
      <c r="D62" s="10"/>
      <c r="E62" s="10"/>
      <c r="F62" s="10"/>
    </row>
    <row r="63" spans="1:6" ht="15.75" customHeight="1">
      <c r="A63" s="9" t="s">
        <v>283</v>
      </c>
      <c r="B63" s="11"/>
      <c r="C63" s="14" t="s">
        <v>284</v>
      </c>
      <c r="D63" s="10"/>
      <c r="E63" s="10"/>
      <c r="F63" s="10"/>
    </row>
    <row r="64" spans="1:6" ht="13">
      <c r="A64" s="12"/>
      <c r="B64" s="13" t="s">
        <v>270</v>
      </c>
      <c r="C64" s="10"/>
      <c r="D64" s="10"/>
      <c r="E64" s="10"/>
      <c r="F64" s="10"/>
    </row>
    <row r="65" spans="1:6" ht="13">
      <c r="A65" s="13" t="s">
        <v>285</v>
      </c>
      <c r="B65" s="14" t="s">
        <v>13</v>
      </c>
      <c r="C65" s="10"/>
      <c r="D65" s="10"/>
      <c r="E65" s="10"/>
      <c r="F65" s="10"/>
    </row>
    <row r="66" spans="1:6" ht="13">
      <c r="A66" s="14"/>
      <c r="B66" s="10"/>
      <c r="C66" s="10"/>
      <c r="D66" s="10"/>
      <c r="E66" s="10"/>
      <c r="F66" s="10"/>
    </row>
    <row r="67" spans="1:6" ht="13">
      <c r="A67" s="15" t="s">
        <v>88</v>
      </c>
    </row>
    <row r="68" spans="1:6" ht="13">
      <c r="A68" s="16" t="s">
        <v>286</v>
      </c>
    </row>
    <row r="69" spans="1:6" ht="13">
      <c r="A69" s="16" t="s">
        <v>287</v>
      </c>
    </row>
  </sheetData>
  <hyperlinks>
    <hyperlink ref="A68" r:id="rId1" xr:uid="{00000000-0004-0000-0300-000000000000}"/>
    <hyperlink ref="A69" r:id="rId2" xr:uid="{00000000-0004-0000-03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69"/>
  <sheetViews>
    <sheetView workbookViewId="0"/>
  </sheetViews>
  <sheetFormatPr baseColWidth="10" defaultColWidth="12.6640625" defaultRowHeight="15.75" customHeight="1"/>
  <sheetData>
    <row r="1" spans="1:12" ht="15.75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I1" s="1" t="s">
        <v>1</v>
      </c>
      <c r="J1" s="1" t="s">
        <v>2</v>
      </c>
      <c r="K1" s="1" t="s">
        <v>3</v>
      </c>
      <c r="L1" s="1" t="s">
        <v>4</v>
      </c>
    </row>
    <row r="2" spans="1:12" ht="15.75" customHeight="1">
      <c r="A2" s="3"/>
      <c r="B2" s="3"/>
      <c r="C2" s="3"/>
      <c r="D2" s="3"/>
      <c r="E2" s="3"/>
      <c r="F2" s="3"/>
      <c r="H2" s="1">
        <v>1</v>
      </c>
      <c r="I2" s="1" t="str">
        <f t="shared" ref="I2:I17" ca="1" si="0">INDIRECT("A" &amp; (3 + ($H2-1)*4))</f>
        <v>(1) DINOY IVY CLAIRE
PMPA / PHI</v>
      </c>
      <c r="J2" s="1" t="str">
        <f t="shared" ref="J2:J17" ca="1" si="1">INDIRECT("A" &amp; (5 + ($H2-1)*4))</f>
        <v>(32) - BYE -</v>
      </c>
      <c r="K2" s="1" t="str">
        <f t="shared" ref="K2:K17" ca="1" si="2">INDIRECT("B" &amp; (4 + ($H2-1)*4))</f>
        <v>(1) DINOY IVY CLAIRE</v>
      </c>
      <c r="L2" s="1">
        <f t="shared" ref="L2:L17" ca="1" si="3">INDIRECT("B" &amp; (5 + ($H2-1)*4))</f>
        <v>0</v>
      </c>
    </row>
    <row r="3" spans="1:12" ht="15.75" customHeight="1">
      <c r="A3" s="4" t="s">
        <v>288</v>
      </c>
      <c r="B3" s="3"/>
      <c r="C3" s="3"/>
      <c r="D3" s="3"/>
      <c r="E3" s="3"/>
      <c r="F3" s="3"/>
      <c r="H3" s="1">
        <v>2</v>
      </c>
      <c r="I3" s="1" t="str">
        <f t="shared" ca="1" si="0"/>
        <v>(17) BUENO MARIA KRISTINA ANGELA
CF / PHI</v>
      </c>
      <c r="J3" s="1" t="str">
        <f t="shared" ca="1" si="1"/>
        <v>(16) BUSTOS MICKYLE REIN
RF / PHI</v>
      </c>
      <c r="K3" s="1" t="str">
        <f t="shared" ca="1" si="2"/>
        <v>(16) BUSTOS MICKYLE REIN</v>
      </c>
      <c r="L3" s="1" t="str">
        <f t="shared" ca="1" si="3"/>
        <v>15 - 6</v>
      </c>
    </row>
    <row r="4" spans="1:12" ht="15.75" customHeight="1">
      <c r="A4" s="5"/>
      <c r="B4" s="4" t="s">
        <v>254</v>
      </c>
      <c r="C4" s="3"/>
      <c r="D4" s="3"/>
      <c r="E4" s="3"/>
      <c r="F4" s="3"/>
      <c r="H4" s="1">
        <v>3</v>
      </c>
      <c r="I4" s="1" t="str">
        <f t="shared" ca="1" si="0"/>
        <v>(9) TAPALES ENDIRAJ MARGARET
UP / PHI</v>
      </c>
      <c r="J4" s="1" t="str">
        <f t="shared" ca="1" si="1"/>
        <v>(24) TORRE PAPINA MARGUERITE
AF / PHI</v>
      </c>
      <c r="K4" s="1" t="str">
        <f t="shared" ca="1" si="2"/>
        <v>(9) TAPALES ENDIRAJ MARGARET</v>
      </c>
      <c r="L4" s="1" t="str">
        <f t="shared" ca="1" si="3"/>
        <v>15 - 12</v>
      </c>
    </row>
    <row r="5" spans="1:12" ht="15.75" customHeight="1">
      <c r="A5" s="6" t="s">
        <v>289</v>
      </c>
      <c r="B5" s="5"/>
      <c r="C5" s="3"/>
      <c r="D5" s="3"/>
      <c r="E5" s="3"/>
      <c r="F5" s="3"/>
      <c r="H5" s="1">
        <v>4</v>
      </c>
      <c r="I5" s="1" t="str">
        <f t="shared" ca="1" si="0"/>
        <v>(25) SYKAT ROBYN NOELLE
RF / PHI</v>
      </c>
      <c r="J5" s="1" t="str">
        <f t="shared" ca="1" si="1"/>
        <v>(8) SANDOVAL JUSTA ANDREA
CF / PHI</v>
      </c>
      <c r="K5" s="1" t="str">
        <f t="shared" ca="1" si="2"/>
        <v>(8) SYKAT ROBYN NOELLE</v>
      </c>
      <c r="L5" s="1" t="str">
        <f t="shared" ca="1" si="3"/>
        <v>15 - 14</v>
      </c>
    </row>
    <row r="6" spans="1:12" ht="15.75" customHeight="1">
      <c r="A6" s="7"/>
      <c r="B6" s="8"/>
      <c r="C6" s="4" t="s">
        <v>254</v>
      </c>
      <c r="D6" s="3"/>
      <c r="E6" s="3"/>
      <c r="F6" s="3"/>
      <c r="H6" s="1">
        <v>5</v>
      </c>
      <c r="I6" s="1" t="str">
        <f t="shared" ca="1" si="0"/>
        <v>(5) ABELLA HANNIEL
NTP / PHI</v>
      </c>
      <c r="J6" s="1" t="str">
        <f t="shared" ca="1" si="1"/>
        <v>(28) RAFAEL GAY MARIE
RF / PHI</v>
      </c>
      <c r="K6" s="1" t="str">
        <f t="shared" ca="1" si="2"/>
        <v>(5) ABELLA HANNIEL</v>
      </c>
      <c r="L6" s="1" t="str">
        <f t="shared" ca="1" si="3"/>
        <v>15 - 4</v>
      </c>
    </row>
    <row r="7" spans="1:12" ht="15.75" customHeight="1">
      <c r="A7" s="4" t="s">
        <v>290</v>
      </c>
      <c r="B7" s="8"/>
      <c r="C7" s="5" t="s">
        <v>243</v>
      </c>
      <c r="D7" s="3"/>
      <c r="E7" s="3"/>
      <c r="F7" s="3"/>
      <c r="H7" s="1">
        <v>6</v>
      </c>
      <c r="I7" s="1" t="str">
        <f t="shared" ca="1" si="0"/>
        <v>(21) JUNIA ELEINA MARGUERITE
AF / PHI</v>
      </c>
      <c r="J7" s="1" t="str">
        <f t="shared" ca="1" si="1"/>
        <v>(12) SALVADOR IVANA
CF / PHI</v>
      </c>
      <c r="K7" s="1" t="str">
        <f t="shared" ca="1" si="2"/>
        <v>(12) SALVADOR IVANA</v>
      </c>
      <c r="L7" s="1" t="str">
        <f t="shared" ca="1" si="3"/>
        <v>15 - 6</v>
      </c>
    </row>
    <row r="8" spans="1:12" ht="15.75" customHeight="1">
      <c r="A8" s="5"/>
      <c r="B8" s="6" t="s">
        <v>291</v>
      </c>
      <c r="C8" s="8"/>
      <c r="D8" s="3"/>
      <c r="E8" s="3"/>
      <c r="F8" s="3"/>
      <c r="H8" s="1">
        <v>7</v>
      </c>
      <c r="I8" s="1" t="str">
        <f t="shared" ca="1" si="0"/>
        <v>(13) VILLAPANDO JHOLAN
DLSU / PHI</v>
      </c>
      <c r="J8" s="1" t="str">
        <f t="shared" ca="1" si="1"/>
        <v>(20) NORO NAMI
UP / PHI</v>
      </c>
      <c r="K8" s="1" t="str">
        <f t="shared" ca="1" si="2"/>
        <v>(13) NORO NAMI</v>
      </c>
      <c r="L8" s="1" t="str">
        <f t="shared" ca="1" si="3"/>
        <v>15 - 14</v>
      </c>
    </row>
    <row r="9" spans="1:12" ht="15.75" customHeight="1">
      <c r="A9" s="6" t="s">
        <v>292</v>
      </c>
      <c r="B9" s="7" t="s">
        <v>132</v>
      </c>
      <c r="C9" s="8"/>
      <c r="D9" s="3"/>
      <c r="E9" s="3"/>
      <c r="F9" s="3"/>
      <c r="H9" s="1">
        <v>8</v>
      </c>
      <c r="I9" s="1" t="str">
        <f t="shared" ca="1" si="0"/>
        <v>(29) SIA SARAH-INGRID AURELIA
RF / PHI</v>
      </c>
      <c r="J9" s="1" t="str">
        <f t="shared" ca="1" si="1"/>
        <v>(4) HARRISON ASHLEY MAE MICHELLE
NTP / PHI</v>
      </c>
      <c r="K9" s="1" t="str">
        <f t="shared" ca="1" si="2"/>
        <v>(4) HARRISON ASHLEY MAE MICHELLE</v>
      </c>
      <c r="L9" s="1" t="str">
        <f t="shared" ca="1" si="3"/>
        <v>15 - 5</v>
      </c>
    </row>
    <row r="10" spans="1:12" ht="15.75" customHeight="1">
      <c r="A10" s="7"/>
      <c r="B10" s="3"/>
      <c r="C10" s="8"/>
      <c r="D10" s="4" t="s">
        <v>254</v>
      </c>
      <c r="E10" s="3"/>
      <c r="F10" s="3"/>
      <c r="H10" s="1">
        <v>9</v>
      </c>
      <c r="I10" s="1" t="str">
        <f t="shared" ca="1" si="0"/>
        <v>(3) MATIAS ANDREA JENNELLE
UE / PHI</v>
      </c>
      <c r="J10" s="1" t="str">
        <f t="shared" ca="1" si="1"/>
        <v>(30) MANAOIS IRISH
UE / PHI</v>
      </c>
      <c r="K10" s="1" t="str">
        <f t="shared" ca="1" si="2"/>
        <v>(3) MATIAS ANDREA JENNELLE</v>
      </c>
      <c r="L10" s="1" t="str">
        <f t="shared" ca="1" si="3"/>
        <v>15 - 11</v>
      </c>
    </row>
    <row r="11" spans="1:12" ht="15.75" customHeight="1">
      <c r="A11" s="4" t="s">
        <v>293</v>
      </c>
      <c r="B11" s="3"/>
      <c r="C11" s="8"/>
      <c r="D11" s="5" t="s">
        <v>294</v>
      </c>
      <c r="E11" s="3"/>
      <c r="F11" s="3"/>
      <c r="H11" s="1">
        <v>10</v>
      </c>
      <c r="I11" s="1" t="str">
        <f t="shared" ca="1" si="0"/>
        <v>(19) CAPINA MIYAKE
DLSZ / PHI</v>
      </c>
      <c r="J11" s="1" t="str">
        <f t="shared" ca="1" si="1"/>
        <v>(14) MENDOZA JENNINA
UP / PHI</v>
      </c>
      <c r="K11" s="1" t="str">
        <f t="shared" ca="1" si="2"/>
        <v>(14) MENDOZA JENNINA</v>
      </c>
      <c r="L11" s="1" t="str">
        <f t="shared" ca="1" si="3"/>
        <v>15 - 13</v>
      </c>
    </row>
    <row r="12" spans="1:12" ht="15.75" customHeight="1">
      <c r="A12" s="5"/>
      <c r="B12" s="4" t="s">
        <v>295</v>
      </c>
      <c r="C12" s="8"/>
      <c r="D12" s="8"/>
      <c r="E12" s="3"/>
      <c r="F12" s="3"/>
      <c r="H12" s="1">
        <v>11</v>
      </c>
      <c r="I12" s="1" t="str">
        <f t="shared" ca="1" si="0"/>
        <v>(11) DELOS SANTOS JAYMI
NTP / PHI</v>
      </c>
      <c r="J12" s="1" t="str">
        <f t="shared" ca="1" si="1"/>
        <v>(22) FLORES MARIEL ELIANNE
UP / PHI</v>
      </c>
      <c r="K12" s="1" t="str">
        <f t="shared" ca="1" si="2"/>
        <v>(11) DELOS SANTOS JAYMI</v>
      </c>
      <c r="L12" s="1" t="str">
        <f t="shared" ca="1" si="3"/>
        <v>15 - 14</v>
      </c>
    </row>
    <row r="13" spans="1:12" ht="15.75" customHeight="1">
      <c r="A13" s="6" t="s">
        <v>296</v>
      </c>
      <c r="B13" s="5" t="s">
        <v>52</v>
      </c>
      <c r="C13" s="8"/>
      <c r="D13" s="8"/>
      <c r="E13" s="3"/>
      <c r="F13" s="3"/>
      <c r="H13" s="1">
        <v>12</v>
      </c>
      <c r="I13" s="1" t="str">
        <f t="shared" ca="1" si="0"/>
        <v>(27) RAGOT MIKAELA NICOLE
UE / PHI</v>
      </c>
      <c r="J13" s="1" t="str">
        <f t="shared" ca="1" si="1"/>
        <v>(6) CANLAS NINA DOMINIQUE
UE / PHI</v>
      </c>
      <c r="K13" s="1" t="str">
        <f t="shared" ca="1" si="2"/>
        <v>(6) CANLAS NINA DOMINIQUE</v>
      </c>
      <c r="L13" s="1" t="str">
        <f t="shared" ca="1" si="3"/>
        <v>15 - 13</v>
      </c>
    </row>
    <row r="14" spans="1:12" ht="15.75" customHeight="1">
      <c r="A14" s="7"/>
      <c r="B14" s="8"/>
      <c r="C14" s="6" t="s">
        <v>297</v>
      </c>
      <c r="D14" s="8"/>
      <c r="E14" s="3"/>
      <c r="F14" s="3"/>
      <c r="H14" s="1">
        <v>13</v>
      </c>
      <c r="I14" s="1" t="str">
        <f t="shared" ca="1" si="0"/>
        <v>(7) GOMEZ JULIANA MA. BEATRICE
PMPA / PHI</v>
      </c>
      <c r="J14" s="1" t="str">
        <f t="shared" ca="1" si="1"/>
        <v>(26) DEL ROSARIO SARINA KELLY
RF / PHI</v>
      </c>
      <c r="K14" s="1" t="str">
        <f t="shared" ca="1" si="2"/>
        <v>(7) GOMEZ JULIANA MA. BEATRICE</v>
      </c>
      <c r="L14" s="1" t="str">
        <f t="shared" ca="1" si="3"/>
        <v>15 - 6</v>
      </c>
    </row>
    <row r="15" spans="1:12" ht="15.75" customHeight="1">
      <c r="A15" s="4" t="s">
        <v>298</v>
      </c>
      <c r="B15" s="8"/>
      <c r="C15" s="7" t="s">
        <v>299</v>
      </c>
      <c r="D15" s="8"/>
      <c r="E15" s="3"/>
      <c r="F15" s="3"/>
      <c r="H15" s="1">
        <v>14</v>
      </c>
      <c r="I15" s="1" t="str">
        <f t="shared" ca="1" si="0"/>
        <v>(23) EDNILAG KRUPSKAYA
DLSU / PHI</v>
      </c>
      <c r="J15" s="1" t="str">
        <f t="shared" ca="1" si="1"/>
        <v>(10) RAFAEL RANA IMOGEN
ADMU/RF / PHI</v>
      </c>
      <c r="K15" s="1" t="str">
        <f t="shared" ca="1" si="2"/>
        <v>(10) EDNILAG KRUPSKAYA</v>
      </c>
      <c r="L15" s="1" t="str">
        <f t="shared" ca="1" si="3"/>
        <v>15 - 13</v>
      </c>
    </row>
    <row r="16" spans="1:12" ht="15.75" customHeight="1">
      <c r="A16" s="5"/>
      <c r="B16" s="6" t="s">
        <v>297</v>
      </c>
      <c r="C16" s="3"/>
      <c r="D16" s="8"/>
      <c r="E16" s="3"/>
      <c r="F16" s="3"/>
      <c r="H16" s="1">
        <v>15</v>
      </c>
      <c r="I16" s="1" t="str">
        <f t="shared" ca="1" si="0"/>
        <v>(15) UY JANA ANNIKA
CF / PHI</v>
      </c>
      <c r="J16" s="1" t="str">
        <f t="shared" ca="1" si="1"/>
        <v>(18) BACCAY MARTINA JENE
DLSZ / PHI</v>
      </c>
      <c r="K16" s="1" t="str">
        <f t="shared" ca="1" si="2"/>
        <v>(15) UY JANA ANNIKA</v>
      </c>
      <c r="L16" s="1" t="str">
        <f t="shared" ca="1" si="3"/>
        <v>15 - 11</v>
      </c>
    </row>
    <row r="17" spans="1:12" ht="15.75" customHeight="1">
      <c r="A17" s="6" t="s">
        <v>300</v>
      </c>
      <c r="B17" s="7" t="s">
        <v>99</v>
      </c>
      <c r="C17" s="3"/>
      <c r="D17" s="8"/>
      <c r="E17" s="3"/>
      <c r="F17" s="3"/>
      <c r="H17" s="1">
        <v>16</v>
      </c>
      <c r="I17" s="1" t="str">
        <f t="shared" ca="1" si="0"/>
        <v>(31) MANGULABNAN KIANA DOMINIQUE
UPFC / PHI</v>
      </c>
      <c r="J17" s="1" t="str">
        <f t="shared" ca="1" si="1"/>
        <v>(2) LARRAZABAL ALEXA
NTP / PHI</v>
      </c>
      <c r="K17" s="1" t="str">
        <f t="shared" ca="1" si="2"/>
        <v>(2) LARRAZABAL ALEXA</v>
      </c>
      <c r="L17" s="1" t="str">
        <f t="shared" ca="1" si="3"/>
        <v>15 - 3</v>
      </c>
    </row>
    <row r="18" spans="1:12" ht="15.75" customHeight="1">
      <c r="A18" s="7"/>
      <c r="B18" s="3"/>
      <c r="C18" s="3"/>
      <c r="D18" s="8"/>
      <c r="E18" s="4" t="s">
        <v>236</v>
      </c>
      <c r="F18" s="3"/>
      <c r="H18" s="1">
        <v>1</v>
      </c>
      <c r="I18" s="1" t="str">
        <f t="shared" ref="I18:I25" ca="1" si="4">INDIRECT("B" &amp; (4 + ($H18-1)*4))</f>
        <v>(1) DINOY IVY CLAIRE</v>
      </c>
      <c r="J18" s="1" t="str">
        <f t="shared" ref="J18:J25" ca="1" si="5">INDIRECT("B" &amp; (8 + ($H18-1)*4))</f>
        <v>(16) BUSTOS MICKYLE REIN</v>
      </c>
      <c r="K18" s="1" t="str">
        <f t="shared" ref="K18:K25" ca="1" si="6">INDIRECT("C" &amp; (6 + ($H18-1)*4))</f>
        <v>(1) DINOY IVY CLAIRE</v>
      </c>
      <c r="L18" s="1" t="str">
        <f t="shared" ref="L18:L25" ca="1" si="7">INDIRECT("C" &amp; (7 + ($H18-1)*4))</f>
        <v>15 - 9
11:47 AM</v>
      </c>
    </row>
    <row r="19" spans="1:12" ht="15.75" customHeight="1">
      <c r="A19" s="9" t="s">
        <v>301</v>
      </c>
      <c r="B19" s="10"/>
      <c r="C19" s="10"/>
      <c r="D19" s="11"/>
      <c r="E19" s="12" t="s">
        <v>302</v>
      </c>
      <c r="F19" s="10"/>
      <c r="H19" s="1">
        <v>3</v>
      </c>
      <c r="I19" s="1" t="str">
        <f t="shared" ca="1" si="4"/>
        <v>(9) TAPALES ENDIRAJ MARGARET</v>
      </c>
      <c r="J19" s="1" t="str">
        <f t="shared" ca="1" si="5"/>
        <v>(8) SYKAT ROBYN NOELLE</v>
      </c>
      <c r="K19" s="1" t="str">
        <f t="shared" ca="1" si="6"/>
        <v>(8) SYKAT ROBYN NOELLE</v>
      </c>
      <c r="L19" s="1" t="str">
        <f t="shared" ca="1" si="7"/>
        <v>15 - 10
11:58 AM</v>
      </c>
    </row>
    <row r="20" spans="1:12" ht="15.75" customHeight="1">
      <c r="A20" s="12"/>
      <c r="B20" s="9" t="s">
        <v>303</v>
      </c>
      <c r="C20" s="10"/>
      <c r="D20" s="11"/>
      <c r="E20" s="11"/>
      <c r="F20" s="10"/>
      <c r="H20" s="1">
        <v>5</v>
      </c>
      <c r="I20" s="1" t="str">
        <f t="shared" ca="1" si="4"/>
        <v>(5) ABELLA HANNIEL</v>
      </c>
      <c r="J20" s="1" t="str">
        <f t="shared" ca="1" si="5"/>
        <v>(12) SALVADOR IVANA</v>
      </c>
      <c r="K20" s="1" t="str">
        <f t="shared" ca="1" si="6"/>
        <v>(5) ABELLA HANNIEL</v>
      </c>
      <c r="L20" s="1" t="str">
        <f t="shared" ca="1" si="7"/>
        <v>15 - 10
11:50 AM</v>
      </c>
    </row>
    <row r="21" spans="1:12" ht="15.75" customHeight="1">
      <c r="A21" s="13" t="s">
        <v>304</v>
      </c>
      <c r="B21" s="12" t="s">
        <v>82</v>
      </c>
      <c r="C21" s="10"/>
      <c r="D21" s="11"/>
      <c r="E21" s="11"/>
      <c r="F21" s="10"/>
      <c r="H21" s="1">
        <v>7</v>
      </c>
      <c r="I21" s="1" t="str">
        <f t="shared" ca="1" si="4"/>
        <v>(13) NORO NAMI</v>
      </c>
      <c r="J21" s="1" t="str">
        <f t="shared" ca="1" si="5"/>
        <v>(4) HARRISON ASHLEY MAE MICHELLE</v>
      </c>
      <c r="K21" s="1" t="str">
        <f t="shared" ca="1" si="6"/>
        <v>(4) HARRISON ASHLEY MAE MICHELLE</v>
      </c>
      <c r="L21" s="1" t="str">
        <f t="shared" ca="1" si="7"/>
        <v>15 - 7
11:53 AM</v>
      </c>
    </row>
    <row r="22" spans="1:12" ht="15.75" customHeight="1">
      <c r="A22" s="14"/>
      <c r="B22" s="11"/>
      <c r="C22" s="9" t="s">
        <v>303</v>
      </c>
      <c r="D22" s="11"/>
      <c r="E22" s="11"/>
      <c r="F22" s="10"/>
      <c r="H22" s="1">
        <v>9</v>
      </c>
      <c r="I22" s="1" t="str">
        <f t="shared" ca="1" si="4"/>
        <v>(3) MATIAS ANDREA JENNELLE</v>
      </c>
      <c r="J22" s="1" t="str">
        <f t="shared" ca="1" si="5"/>
        <v>(14) MENDOZA JENNINA</v>
      </c>
      <c r="K22" s="1" t="str">
        <f t="shared" ca="1" si="6"/>
        <v>(3) MATIAS ANDREA JENNELLE</v>
      </c>
      <c r="L22" s="1" t="str">
        <f t="shared" ca="1" si="7"/>
        <v>15 - 11
12:16 PM</v>
      </c>
    </row>
    <row r="23" spans="1:12" ht="15.75" customHeight="1">
      <c r="A23" s="9" t="s">
        <v>305</v>
      </c>
      <c r="B23" s="11"/>
      <c r="C23" s="12" t="s">
        <v>306</v>
      </c>
      <c r="D23" s="11"/>
      <c r="E23" s="11"/>
      <c r="F23" s="10"/>
      <c r="H23" s="1">
        <v>11</v>
      </c>
      <c r="I23" s="1" t="str">
        <f t="shared" ca="1" si="4"/>
        <v>(11) DELOS SANTOS JAYMI</v>
      </c>
      <c r="J23" s="1" t="str">
        <f t="shared" ca="1" si="5"/>
        <v>(6) CANLAS NINA DOMINIQUE</v>
      </c>
      <c r="K23" s="1" t="str">
        <f t="shared" ca="1" si="6"/>
        <v>(6) DELOS SANTOS JAYMI</v>
      </c>
      <c r="L23" s="1" t="str">
        <f t="shared" ca="1" si="7"/>
        <v>15 - 12
12:19 PM</v>
      </c>
    </row>
    <row r="24" spans="1:12" ht="15.75" customHeight="1">
      <c r="A24" s="12"/>
      <c r="B24" s="13" t="s">
        <v>307</v>
      </c>
      <c r="C24" s="11"/>
      <c r="D24" s="11"/>
      <c r="E24" s="11"/>
      <c r="F24" s="10"/>
      <c r="H24" s="1">
        <v>13</v>
      </c>
      <c r="I24" s="1" t="str">
        <f t="shared" ca="1" si="4"/>
        <v>(7) GOMEZ JULIANA MA. BEATRICE</v>
      </c>
      <c r="J24" s="1" t="str">
        <f t="shared" ca="1" si="5"/>
        <v>(10) EDNILAG KRUPSKAYA</v>
      </c>
      <c r="K24" s="1" t="str">
        <f t="shared" ca="1" si="6"/>
        <v>(7) GOMEZ JULIANA MA. BEATRICE</v>
      </c>
      <c r="L24" s="1" t="str">
        <f t="shared" ca="1" si="7"/>
        <v>15 - 5
12:17 PM</v>
      </c>
    </row>
    <row r="25" spans="1:12" ht="15.75" customHeight="1">
      <c r="A25" s="13" t="s">
        <v>308</v>
      </c>
      <c r="B25" s="14" t="s">
        <v>132</v>
      </c>
      <c r="C25" s="11"/>
      <c r="D25" s="11"/>
      <c r="E25" s="11"/>
      <c r="F25" s="10"/>
      <c r="H25" s="1">
        <v>15</v>
      </c>
      <c r="I25" s="1" t="str">
        <f t="shared" ca="1" si="4"/>
        <v>(15) UY JANA ANNIKA</v>
      </c>
      <c r="J25" s="1" t="str">
        <f t="shared" ca="1" si="5"/>
        <v>(2) LARRAZABAL ALEXA</v>
      </c>
      <c r="K25" s="1" t="str">
        <f t="shared" ca="1" si="6"/>
        <v>(2) LARRAZABAL ALEXA</v>
      </c>
      <c r="L25" s="1" t="str">
        <f t="shared" ca="1" si="7"/>
        <v>15 - 8
12:21 PM</v>
      </c>
    </row>
    <row r="26" spans="1:12" ht="15.75" customHeight="1">
      <c r="A26" s="14"/>
      <c r="B26" s="10"/>
      <c r="C26" s="11"/>
      <c r="D26" s="13" t="s">
        <v>246</v>
      </c>
      <c r="E26" s="11"/>
      <c r="F26" s="10"/>
      <c r="H26" s="1">
        <v>1</v>
      </c>
      <c r="I26" s="1" t="str">
        <f t="shared" ref="I26:I29" ca="1" si="8">INDIRECT("C" &amp; (6 + ($H26-1)*4))</f>
        <v>(1) DINOY IVY CLAIRE</v>
      </c>
      <c r="J26" s="1" t="str">
        <f t="shared" ref="J26:J29" ca="1" si="9">INDIRECT("C" &amp; (14 + ($H26-1)*4))</f>
        <v>(8) SYKAT ROBYN NOELLE</v>
      </c>
      <c r="K26" s="1" t="str">
        <f t="shared" ref="K26:K29" ca="1" si="10">INDIRECT("D" &amp; (10 + ($H26-1)*4))</f>
        <v>(1) DINOY IVY CLAIRE</v>
      </c>
      <c r="L26" s="1" t="str">
        <f t="shared" ref="L26:L29" ca="1" si="11">INDIRECT("D" &amp; (11 + ($H26-1)*4))</f>
        <v>15 - 8
12:50 PM</v>
      </c>
    </row>
    <row r="27" spans="1:12" ht="15.75" customHeight="1">
      <c r="A27" s="9" t="s">
        <v>309</v>
      </c>
      <c r="B27" s="10"/>
      <c r="C27" s="11"/>
      <c r="D27" s="14" t="s">
        <v>310</v>
      </c>
      <c r="E27" s="11"/>
      <c r="F27" s="10"/>
      <c r="H27" s="1">
        <v>5</v>
      </c>
      <c r="I27" s="1" t="str">
        <f t="shared" ca="1" si="8"/>
        <v>(5) ABELLA HANNIEL</v>
      </c>
      <c r="J27" s="1" t="str">
        <f t="shared" ca="1" si="9"/>
        <v>(4) HARRISON ASHLEY MAE MICHELLE</v>
      </c>
      <c r="K27" s="1" t="str">
        <f t="shared" ca="1" si="10"/>
        <v>(4) ABELLA HANNIEL</v>
      </c>
      <c r="L27" s="1" t="str">
        <f t="shared" ca="1" si="11"/>
        <v>15 - 9
12:49 PM</v>
      </c>
    </row>
    <row r="28" spans="1:12" ht="15.75" customHeight="1">
      <c r="A28" s="12"/>
      <c r="B28" s="9" t="s">
        <v>41</v>
      </c>
      <c r="C28" s="11"/>
      <c r="D28" s="10"/>
      <c r="E28" s="11"/>
      <c r="F28" s="10"/>
      <c r="H28" s="1">
        <v>9</v>
      </c>
      <c r="I28" s="1" t="str">
        <f t="shared" ca="1" si="8"/>
        <v>(3) MATIAS ANDREA JENNELLE</v>
      </c>
      <c r="J28" s="1" t="str">
        <f t="shared" ca="1" si="9"/>
        <v>(6) DELOS SANTOS JAYMI</v>
      </c>
      <c r="K28" s="1" t="str">
        <f t="shared" ca="1" si="10"/>
        <v>(3) DELOS SANTOS JAYMI</v>
      </c>
      <c r="L28" s="1" t="str">
        <f t="shared" ca="1" si="11"/>
        <v>15 - 10
12:47 PM</v>
      </c>
    </row>
    <row r="29" spans="1:12" ht="15.75" customHeight="1">
      <c r="A29" s="13" t="s">
        <v>42</v>
      </c>
      <c r="B29" s="12" t="s">
        <v>99</v>
      </c>
      <c r="C29" s="11"/>
      <c r="D29" s="10"/>
      <c r="E29" s="11"/>
      <c r="F29" s="10"/>
      <c r="H29" s="1">
        <v>13</v>
      </c>
      <c r="I29" s="1" t="str">
        <f t="shared" ca="1" si="8"/>
        <v>(7) GOMEZ JULIANA MA. BEATRICE</v>
      </c>
      <c r="J29" s="1" t="str">
        <f t="shared" ca="1" si="9"/>
        <v>(2) LARRAZABAL ALEXA</v>
      </c>
      <c r="K29" s="1" t="str">
        <f t="shared" ca="1" si="10"/>
        <v>(2) LARRAZABAL ALEXA</v>
      </c>
      <c r="L29" s="1" t="str">
        <f t="shared" ca="1" si="11"/>
        <v>15 - 7
12:43 PM</v>
      </c>
    </row>
    <row r="30" spans="1:12" ht="15.75" customHeight="1">
      <c r="A30" s="14"/>
      <c r="B30" s="11"/>
      <c r="C30" s="13" t="s">
        <v>311</v>
      </c>
      <c r="D30" s="10"/>
      <c r="E30" s="11"/>
      <c r="F30" s="10"/>
      <c r="H30" s="1">
        <v>1</v>
      </c>
      <c r="I30" s="1" t="str">
        <f t="shared" ref="I30:I31" ca="1" si="12">INDIRECT("D" &amp; (10 + ($H30-1)*4))</f>
        <v>(1) DINOY IVY CLAIRE</v>
      </c>
      <c r="J30" s="1" t="str">
        <f t="shared" ref="J30:J31" ca="1" si="13">INDIRECT("D" &amp; (26 + ($H30-1)*4))</f>
        <v>(4) ABELLA HANNIEL</v>
      </c>
      <c r="K30" s="1" t="str">
        <f t="shared" ref="K30:K31" ca="1" si="14">INDIRECT("E" &amp; (18 + ($H30-1)*4))</f>
        <v>(1) ABELLA HANNIEL</v>
      </c>
      <c r="L30" s="1" t="str">
        <f t="shared" ref="L30:L31" ca="1" si="15">INDIRECT("E" &amp; (19 + ($H30-1)*4))</f>
        <v>13 - 12
1:25 PM</v>
      </c>
    </row>
    <row r="31" spans="1:12" ht="15.75" customHeight="1">
      <c r="A31" s="9" t="s">
        <v>312</v>
      </c>
      <c r="B31" s="11"/>
      <c r="C31" s="14" t="s">
        <v>313</v>
      </c>
      <c r="D31" s="10"/>
      <c r="E31" s="11"/>
      <c r="F31" s="10"/>
      <c r="H31" s="1">
        <v>9</v>
      </c>
      <c r="I31" s="1" t="str">
        <f t="shared" ca="1" si="12"/>
        <v>(3) DELOS SANTOS JAYMI</v>
      </c>
      <c r="J31" s="1" t="str">
        <f t="shared" ca="1" si="13"/>
        <v>(2) LARRAZABAL ALEXA</v>
      </c>
      <c r="K31" s="1" t="str">
        <f t="shared" ca="1" si="14"/>
        <v>(2) LARRAZABAL ALEXA</v>
      </c>
      <c r="L31" s="1" t="str">
        <f t="shared" ca="1" si="15"/>
        <v>15 - 10
1:22 PM</v>
      </c>
    </row>
    <row r="32" spans="1:12" ht="15.75" customHeight="1">
      <c r="A32" s="12"/>
      <c r="B32" s="13" t="s">
        <v>311</v>
      </c>
      <c r="C32" s="10"/>
      <c r="D32" s="10"/>
      <c r="E32" s="11"/>
      <c r="F32" s="10"/>
      <c r="H32" s="1">
        <v>1</v>
      </c>
      <c r="I32" s="1" t="str">
        <f t="array" aca="1" ref="I32" ca="1">INDIRECT("E" &amp; (18 + ($H32-1)*4))</f>
        <v>(1) ABELLA HANNIEL</v>
      </c>
      <c r="J32" s="1" t="str">
        <f t="array" aca="1" ref="J32" ca="1">INDIRECT("E" &amp; (50 + ($H32-1)*4))</f>
        <v>(2) LARRAZABAL ALEXA</v>
      </c>
      <c r="K32" s="1" t="str">
        <f t="array" aca="1" ref="K32" ca="1">INDIRECT("F" &amp; (34 + ($H32-1)*4))</f>
        <v>(1) LARRAZABAL ALEXA</v>
      </c>
      <c r="L32" s="1" t="str">
        <f t="array" aca="1" ref="L32" ca="1">INDIRECT("F" &amp; (35 + ($H32-1)*4))</f>
        <v>15 - 10
2:02 PM</v>
      </c>
    </row>
    <row r="33" spans="1:6" ht="15.75" customHeight="1">
      <c r="A33" s="13" t="s">
        <v>314</v>
      </c>
      <c r="B33" s="14" t="s">
        <v>13</v>
      </c>
      <c r="C33" s="10"/>
      <c r="D33" s="10"/>
      <c r="E33" s="11"/>
      <c r="F33" s="10"/>
    </row>
    <row r="34" spans="1:6" ht="15.75" customHeight="1">
      <c r="A34" s="14"/>
      <c r="B34" s="10"/>
      <c r="C34" s="10"/>
      <c r="D34" s="10"/>
      <c r="E34" s="11"/>
      <c r="F34" s="9" t="s">
        <v>11</v>
      </c>
    </row>
    <row r="35" spans="1:6" ht="15.75" customHeight="1">
      <c r="A35" s="4" t="s">
        <v>315</v>
      </c>
      <c r="B35" s="3"/>
      <c r="C35" s="3"/>
      <c r="D35" s="3"/>
      <c r="E35" s="8"/>
      <c r="F35" s="7" t="s">
        <v>316</v>
      </c>
    </row>
    <row r="36" spans="1:6" ht="15.75" customHeight="1">
      <c r="A36" s="5"/>
      <c r="B36" s="4" t="s">
        <v>317</v>
      </c>
      <c r="C36" s="3"/>
      <c r="D36" s="3"/>
      <c r="E36" s="8"/>
      <c r="F36" s="3"/>
    </row>
    <row r="37" spans="1:6" ht="15.75" customHeight="1">
      <c r="A37" s="6" t="s">
        <v>318</v>
      </c>
      <c r="B37" s="5" t="s">
        <v>63</v>
      </c>
      <c r="C37" s="3"/>
      <c r="D37" s="3"/>
      <c r="E37" s="8"/>
      <c r="F37" s="3"/>
    </row>
    <row r="38" spans="1:6" ht="15.75" customHeight="1">
      <c r="A38" s="7"/>
      <c r="B38" s="8"/>
      <c r="C38" s="4" t="s">
        <v>317</v>
      </c>
      <c r="D38" s="3"/>
      <c r="E38" s="8"/>
      <c r="F38" s="3"/>
    </row>
    <row r="39" spans="1:6" ht="15.75" customHeight="1">
      <c r="A39" s="4" t="s">
        <v>319</v>
      </c>
      <c r="B39" s="8"/>
      <c r="C39" s="5" t="s">
        <v>320</v>
      </c>
      <c r="D39" s="3"/>
      <c r="E39" s="8"/>
      <c r="F39" s="3"/>
    </row>
    <row r="40" spans="1:6" ht="15.75" customHeight="1">
      <c r="A40" s="5"/>
      <c r="B40" s="6" t="s">
        <v>321</v>
      </c>
      <c r="C40" s="8"/>
      <c r="D40" s="3"/>
      <c r="E40" s="8"/>
      <c r="F40" s="3"/>
    </row>
    <row r="41" spans="1:6" ht="15.75" customHeight="1">
      <c r="A41" s="6" t="s">
        <v>322</v>
      </c>
      <c r="B41" s="7" t="s">
        <v>23</v>
      </c>
      <c r="C41" s="8"/>
      <c r="D41" s="3"/>
      <c r="E41" s="8"/>
      <c r="F41" s="3"/>
    </row>
    <row r="42" spans="1:6" ht="15.75" customHeight="1">
      <c r="A42" s="7"/>
      <c r="B42" s="3"/>
      <c r="C42" s="8"/>
      <c r="D42" s="4" t="s">
        <v>323</v>
      </c>
      <c r="E42" s="8"/>
      <c r="F42" s="3"/>
    </row>
    <row r="43" spans="1:6" ht="15.75" customHeight="1">
      <c r="A43" s="4" t="s">
        <v>262</v>
      </c>
      <c r="B43" s="3"/>
      <c r="C43" s="8"/>
      <c r="D43" s="5" t="s">
        <v>324</v>
      </c>
      <c r="E43" s="8"/>
      <c r="F43" s="3"/>
    </row>
    <row r="44" spans="1:6" ht="15.75" customHeight="1">
      <c r="A44" s="5"/>
      <c r="B44" s="4" t="s">
        <v>325</v>
      </c>
      <c r="C44" s="8"/>
      <c r="D44" s="8"/>
      <c r="E44" s="8"/>
      <c r="F44" s="3"/>
    </row>
    <row r="45" spans="1:6" ht="15.75" customHeight="1">
      <c r="A45" s="6" t="s">
        <v>326</v>
      </c>
      <c r="B45" s="5" t="s">
        <v>99</v>
      </c>
      <c r="C45" s="8"/>
      <c r="D45" s="8"/>
      <c r="E45" s="8"/>
      <c r="F45" s="3"/>
    </row>
    <row r="46" spans="1:6" ht="15.75" customHeight="1">
      <c r="A46" s="7"/>
      <c r="B46" s="8"/>
      <c r="C46" s="6" t="s">
        <v>327</v>
      </c>
      <c r="D46" s="8"/>
      <c r="E46" s="8"/>
      <c r="F46" s="3"/>
    </row>
    <row r="47" spans="1:6" ht="15.75" customHeight="1">
      <c r="A47" s="4" t="s">
        <v>328</v>
      </c>
      <c r="B47" s="8"/>
      <c r="C47" s="7" t="s">
        <v>329</v>
      </c>
      <c r="D47" s="8"/>
      <c r="E47" s="8"/>
      <c r="F47" s="3"/>
    </row>
    <row r="48" spans="1:6" ht="15.75" customHeight="1">
      <c r="A48" s="5"/>
      <c r="B48" s="6" t="s">
        <v>330</v>
      </c>
      <c r="C48" s="3"/>
      <c r="D48" s="8"/>
      <c r="E48" s="8"/>
      <c r="F48" s="3"/>
    </row>
    <row r="49" spans="1:6" ht="15.75" customHeight="1">
      <c r="A49" s="6" t="s">
        <v>331</v>
      </c>
      <c r="B49" s="7" t="s">
        <v>23</v>
      </c>
      <c r="C49" s="3"/>
      <c r="D49" s="8"/>
      <c r="E49" s="8"/>
      <c r="F49" s="3"/>
    </row>
    <row r="50" spans="1:6" ht="15.75" customHeight="1">
      <c r="A50" s="7"/>
      <c r="B50" s="3"/>
      <c r="C50" s="3"/>
      <c r="D50" s="8"/>
      <c r="E50" s="6" t="s">
        <v>189</v>
      </c>
      <c r="F50" s="3"/>
    </row>
    <row r="51" spans="1:6" ht="15.75" customHeight="1">
      <c r="A51" s="9" t="s">
        <v>332</v>
      </c>
      <c r="B51" s="10"/>
      <c r="C51" s="10"/>
      <c r="D51" s="11"/>
      <c r="E51" s="14" t="s">
        <v>333</v>
      </c>
      <c r="F51" s="10"/>
    </row>
    <row r="52" spans="1:6" ht="15.75" customHeight="1">
      <c r="A52" s="12"/>
      <c r="B52" s="9" t="s">
        <v>334</v>
      </c>
      <c r="C52" s="10"/>
      <c r="D52" s="11"/>
      <c r="E52" s="10"/>
      <c r="F52" s="10"/>
    </row>
    <row r="53" spans="1:6" ht="15.75" customHeight="1">
      <c r="A53" s="13" t="s">
        <v>335</v>
      </c>
      <c r="B53" s="12" t="s">
        <v>132</v>
      </c>
      <c r="C53" s="10"/>
      <c r="D53" s="11"/>
      <c r="E53" s="10"/>
      <c r="F53" s="10"/>
    </row>
    <row r="54" spans="1:6" ht="15.75" customHeight="1">
      <c r="A54" s="14"/>
      <c r="B54" s="11"/>
      <c r="C54" s="9" t="s">
        <v>334</v>
      </c>
      <c r="D54" s="11"/>
      <c r="E54" s="10"/>
      <c r="F54" s="10"/>
    </row>
    <row r="55" spans="1:6" ht="15.75" customHeight="1">
      <c r="A55" s="9" t="s">
        <v>336</v>
      </c>
      <c r="B55" s="11"/>
      <c r="C55" s="12" t="s">
        <v>337</v>
      </c>
      <c r="D55" s="11"/>
      <c r="E55" s="10"/>
      <c r="F55" s="10"/>
    </row>
    <row r="56" spans="1:6" ht="15.75" customHeight="1">
      <c r="A56" s="12"/>
      <c r="B56" s="13" t="s">
        <v>338</v>
      </c>
      <c r="C56" s="11"/>
      <c r="D56" s="11"/>
      <c r="E56" s="10"/>
      <c r="F56" s="10"/>
    </row>
    <row r="57" spans="1:6" ht="15.75" customHeight="1">
      <c r="A57" s="13" t="s">
        <v>339</v>
      </c>
      <c r="B57" s="14" t="s">
        <v>23</v>
      </c>
      <c r="C57" s="11"/>
      <c r="D57" s="11"/>
      <c r="E57" s="10"/>
      <c r="F57" s="10"/>
    </row>
    <row r="58" spans="1:6" ht="15.75" customHeight="1">
      <c r="A58" s="14"/>
      <c r="B58" s="10"/>
      <c r="C58" s="11"/>
      <c r="D58" s="13" t="s">
        <v>189</v>
      </c>
      <c r="E58" s="10"/>
      <c r="F58" s="10"/>
    </row>
    <row r="59" spans="1:6" ht="15.75" customHeight="1">
      <c r="A59" s="9" t="s">
        <v>340</v>
      </c>
      <c r="B59" s="10"/>
      <c r="C59" s="11"/>
      <c r="D59" s="14" t="s">
        <v>341</v>
      </c>
      <c r="E59" s="10"/>
      <c r="F59" s="10"/>
    </row>
    <row r="60" spans="1:6" ht="15.75" customHeight="1">
      <c r="A60" s="12"/>
      <c r="B60" s="9" t="s">
        <v>342</v>
      </c>
      <c r="C60" s="11"/>
      <c r="D60" s="10"/>
      <c r="E60" s="10"/>
      <c r="F60" s="10"/>
    </row>
    <row r="61" spans="1:6" ht="15.75" customHeight="1">
      <c r="A61" s="13" t="s">
        <v>343</v>
      </c>
      <c r="B61" s="12" t="s">
        <v>63</v>
      </c>
      <c r="C61" s="11"/>
      <c r="D61" s="10"/>
      <c r="E61" s="10"/>
      <c r="F61" s="10"/>
    </row>
    <row r="62" spans="1:6" ht="15.75" customHeight="1">
      <c r="A62" s="14"/>
      <c r="B62" s="11"/>
      <c r="C62" s="13" t="s">
        <v>189</v>
      </c>
      <c r="D62" s="10"/>
      <c r="E62" s="10"/>
      <c r="F62" s="10"/>
    </row>
    <row r="63" spans="1:6" ht="15.75" customHeight="1">
      <c r="A63" s="9" t="s">
        <v>344</v>
      </c>
      <c r="B63" s="11"/>
      <c r="C63" s="14" t="s">
        <v>345</v>
      </c>
      <c r="D63" s="10"/>
      <c r="E63" s="10"/>
      <c r="F63" s="10"/>
    </row>
    <row r="64" spans="1:6" ht="13">
      <c r="A64" s="12"/>
      <c r="B64" s="13" t="s">
        <v>189</v>
      </c>
      <c r="C64" s="10"/>
      <c r="D64" s="10"/>
      <c r="E64" s="10"/>
      <c r="F64" s="10"/>
    </row>
    <row r="65" spans="1:6" ht="13">
      <c r="A65" s="13" t="s">
        <v>346</v>
      </c>
      <c r="B65" s="14" t="s">
        <v>235</v>
      </c>
      <c r="C65" s="10"/>
      <c r="D65" s="10"/>
      <c r="E65" s="10"/>
      <c r="F65" s="10"/>
    </row>
    <row r="66" spans="1:6" ht="13">
      <c r="A66" s="14"/>
      <c r="B66" s="10"/>
      <c r="C66" s="10"/>
      <c r="D66" s="10"/>
      <c r="E66" s="10"/>
      <c r="F66" s="10"/>
    </row>
    <row r="67" spans="1:6" ht="13">
      <c r="A67" s="15" t="s">
        <v>88</v>
      </c>
    </row>
    <row r="68" spans="1:6" ht="13">
      <c r="A68" s="16" t="s">
        <v>347</v>
      </c>
    </row>
    <row r="69" spans="1:6" ht="13">
      <c r="A69" s="16" t="s">
        <v>348</v>
      </c>
    </row>
  </sheetData>
  <hyperlinks>
    <hyperlink ref="A68" r:id="rId1" xr:uid="{00000000-0004-0000-0400-000000000000}"/>
    <hyperlink ref="A69" r:id="rId2" xr:uid="{00000000-0004-0000-04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69"/>
  <sheetViews>
    <sheetView workbookViewId="0"/>
  </sheetViews>
  <sheetFormatPr baseColWidth="10" defaultColWidth="12.6640625" defaultRowHeight="15.75" customHeight="1"/>
  <sheetData>
    <row r="1" spans="1:12" ht="15.75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I1" s="1" t="s">
        <v>1</v>
      </c>
      <c r="J1" s="1" t="s">
        <v>2</v>
      </c>
      <c r="K1" s="1" t="s">
        <v>3</v>
      </c>
      <c r="L1" s="1" t="s">
        <v>4</v>
      </c>
    </row>
    <row r="2" spans="1:12" ht="15.75" customHeight="1">
      <c r="A2" s="3"/>
      <c r="B2" s="3"/>
      <c r="C2" s="3"/>
      <c r="D2" s="3"/>
      <c r="E2" s="3"/>
      <c r="F2" s="3"/>
      <c r="H2" s="1">
        <v>1</v>
      </c>
      <c r="I2" s="1" t="str">
        <f t="shared" ref="I2:I17" ca="1" si="0">INDIRECT("A" &amp; (3 + ($H2-1)*4))</f>
        <v>(1) ABELLA HANNIEL
NTP / PHI</v>
      </c>
      <c r="J2" s="1" t="str">
        <f t="shared" ref="J2:J17" ca="1" si="1">INDIRECT("A" &amp; (5 + ($H2-1)*4))</f>
        <v>(32) - BYE -</v>
      </c>
      <c r="K2" s="1" t="str">
        <f t="shared" ref="K2:K17" ca="1" si="2">INDIRECT("B" &amp; (4 + ($H2-1)*4))</f>
        <v>(1) ABELLA HANNIEL</v>
      </c>
      <c r="L2" s="1">
        <f t="shared" ref="L2:L17" ca="1" si="3">INDIRECT("B" &amp; (5 + ($H2-1)*4))</f>
        <v>0</v>
      </c>
    </row>
    <row r="3" spans="1:12" ht="15.75" customHeight="1">
      <c r="A3" s="4" t="s">
        <v>349</v>
      </c>
      <c r="B3" s="3"/>
      <c r="C3" s="3"/>
      <c r="D3" s="3"/>
      <c r="E3" s="3"/>
      <c r="F3" s="3"/>
      <c r="H3" s="1">
        <v>2</v>
      </c>
      <c r="I3" s="1" t="str">
        <f t="shared" ca="1" si="0"/>
        <v>(17) FLORES MARIEL ELIANNE FRANCESCA
UP / PHI</v>
      </c>
      <c r="J3" s="1" t="str">
        <f t="shared" ca="1" si="1"/>
        <v>(16) ONG JICKLE CLAIN
CF / PHI</v>
      </c>
      <c r="K3" s="1" t="str">
        <f t="shared" ca="1" si="2"/>
        <v>(16) FLORES MARIEL ELIANNE FRANCESCA</v>
      </c>
      <c r="L3" s="1" t="str">
        <f t="shared" ca="1" si="3"/>
        <v>15 - 9</v>
      </c>
    </row>
    <row r="4" spans="1:12" ht="15.75" customHeight="1">
      <c r="A4" s="5"/>
      <c r="B4" s="4" t="s">
        <v>236</v>
      </c>
      <c r="C4" s="3"/>
      <c r="D4" s="3"/>
      <c r="E4" s="3"/>
      <c r="F4" s="3"/>
      <c r="H4" s="1">
        <v>3</v>
      </c>
      <c r="I4" s="1" t="str">
        <f t="shared" ca="1" si="0"/>
        <v>(9) DELOS SANTOS JAYMI
NTP / PHI</v>
      </c>
      <c r="J4" s="1" t="str">
        <f t="shared" ca="1" si="1"/>
        <v>(24) SALVADOR IVANA
CF / PHI</v>
      </c>
      <c r="K4" s="1" t="str">
        <f t="shared" ca="1" si="2"/>
        <v>(9) DELOS SANTOS JAYMI</v>
      </c>
      <c r="L4" s="1" t="str">
        <f t="shared" ca="1" si="3"/>
        <v>14 - 13</v>
      </c>
    </row>
    <row r="5" spans="1:12" ht="15.75" customHeight="1">
      <c r="A5" s="6" t="s">
        <v>289</v>
      </c>
      <c r="B5" s="5"/>
      <c r="C5" s="3"/>
      <c r="D5" s="3"/>
      <c r="E5" s="3"/>
      <c r="F5" s="3"/>
      <c r="H5" s="1">
        <v>4</v>
      </c>
      <c r="I5" s="1" t="str">
        <f t="shared" ca="1" si="0"/>
        <v>(25) UY JANA ANNIKA
CF / PHI</v>
      </c>
      <c r="J5" s="1" t="str">
        <f t="shared" ca="1" si="1"/>
        <v>(8) MARTINEZ TASHA ISABELLA
HCFC / PHI</v>
      </c>
      <c r="K5" s="1" t="str">
        <f t="shared" ca="1" si="2"/>
        <v>(8) UY JANA ANNIKA</v>
      </c>
      <c r="L5" s="1" t="str">
        <f t="shared" ca="1" si="3"/>
        <v>15 - 11</v>
      </c>
    </row>
    <row r="6" spans="1:12" ht="15.75" customHeight="1">
      <c r="A6" s="7"/>
      <c r="B6" s="8"/>
      <c r="C6" s="4" t="s">
        <v>236</v>
      </c>
      <c r="D6" s="3"/>
      <c r="E6" s="3"/>
      <c r="F6" s="3"/>
      <c r="H6" s="1">
        <v>5</v>
      </c>
      <c r="I6" s="1" t="str">
        <f t="shared" ca="1" si="0"/>
        <v>(5) HARRISON ASHLEY MAE MICHELLE
NTP / PHI</v>
      </c>
      <c r="J6" s="1" t="str">
        <f t="shared" ca="1" si="1"/>
        <v>(28) - BYE -</v>
      </c>
      <c r="K6" s="1" t="str">
        <f t="shared" ca="1" si="2"/>
        <v>(5) HARRISON ASHLEY MAE MICHELLE</v>
      </c>
      <c r="L6" s="1">
        <f t="shared" ca="1" si="3"/>
        <v>0</v>
      </c>
    </row>
    <row r="7" spans="1:12" ht="15.75" customHeight="1">
      <c r="A7" s="4" t="s">
        <v>350</v>
      </c>
      <c r="B7" s="8"/>
      <c r="C7" s="5" t="s">
        <v>351</v>
      </c>
      <c r="D7" s="3"/>
      <c r="E7" s="3"/>
      <c r="F7" s="3"/>
      <c r="H7" s="1">
        <v>6</v>
      </c>
      <c r="I7" s="1" t="str">
        <f t="shared" ca="1" si="0"/>
        <v>(21) ASIS JUZ LOVAINE
PMPA / PHI</v>
      </c>
      <c r="J7" s="1" t="str">
        <f t="shared" ca="1" si="1"/>
        <v>(12) MATIAS ANDREA JENNELLE
UE / PHI</v>
      </c>
      <c r="K7" s="1" t="str">
        <f t="shared" ca="1" si="2"/>
        <v>(12) MATIAS ANDREA JENNELLE</v>
      </c>
      <c r="L7" s="1" t="str">
        <f t="shared" ca="1" si="3"/>
        <v>15 - 11</v>
      </c>
    </row>
    <row r="8" spans="1:12" ht="15.75" customHeight="1">
      <c r="A8" s="5"/>
      <c r="B8" s="6" t="s">
        <v>352</v>
      </c>
      <c r="C8" s="8"/>
      <c r="D8" s="3"/>
      <c r="E8" s="3"/>
      <c r="F8" s="3"/>
      <c r="H8" s="1">
        <v>7</v>
      </c>
      <c r="I8" s="1" t="str">
        <f t="shared" ca="1" si="0"/>
        <v>(13) EDNILAG KRUPSKAYA
DLSU / PHI</v>
      </c>
      <c r="J8" s="1" t="str">
        <f t="shared" ca="1" si="1"/>
        <v>(20) RAFAEL RANA IMOGEN
ADMU/RF / PHI</v>
      </c>
      <c r="K8" s="1" t="str">
        <f t="shared" ca="1" si="2"/>
        <v>(13) EDNILAG KRUPSKAYA</v>
      </c>
      <c r="L8" s="1" t="str">
        <f t="shared" ca="1" si="3"/>
        <v>15 - 10</v>
      </c>
    </row>
    <row r="9" spans="1:12" ht="15.75" customHeight="1">
      <c r="A9" s="6" t="s">
        <v>17</v>
      </c>
      <c r="B9" s="7" t="s">
        <v>47</v>
      </c>
      <c r="C9" s="8"/>
      <c r="D9" s="3"/>
      <c r="E9" s="3"/>
      <c r="F9" s="3"/>
      <c r="H9" s="1">
        <v>8</v>
      </c>
      <c r="I9" s="1" t="str">
        <f t="shared" ca="1" si="0"/>
        <v>(29) - BYE -</v>
      </c>
      <c r="J9" s="1" t="str">
        <f t="shared" ca="1" si="1"/>
        <v>(4) GOMEZ JULIANA MA. BEATRICE
PMPA / PHI</v>
      </c>
      <c r="K9" s="1" t="str">
        <f t="shared" ca="1" si="2"/>
        <v>(4) GOMEZ JULIANA MA. BEATRICE</v>
      </c>
      <c r="L9" s="1">
        <f t="shared" ca="1" si="3"/>
        <v>0</v>
      </c>
    </row>
    <row r="10" spans="1:12" ht="15.75" customHeight="1">
      <c r="A10" s="7"/>
      <c r="B10" s="3"/>
      <c r="C10" s="8"/>
      <c r="D10" s="4" t="s">
        <v>236</v>
      </c>
      <c r="E10" s="3"/>
      <c r="F10" s="3"/>
      <c r="H10" s="1">
        <v>9</v>
      </c>
      <c r="I10" s="1" t="str">
        <f t="shared" ca="1" si="0"/>
        <v>(3) LARRAZABAL ALEXA
NTP / PHI</v>
      </c>
      <c r="J10" s="1" t="str">
        <f t="shared" ca="1" si="1"/>
        <v>(30) - BYE -</v>
      </c>
      <c r="K10" s="1" t="str">
        <f t="shared" ca="1" si="2"/>
        <v>(3) LARRAZABAL ALEXA</v>
      </c>
      <c r="L10" s="1">
        <f t="shared" ca="1" si="3"/>
        <v>0</v>
      </c>
    </row>
    <row r="11" spans="1:12" ht="15.75" customHeight="1">
      <c r="A11" s="4" t="s">
        <v>353</v>
      </c>
      <c r="B11" s="3"/>
      <c r="C11" s="8"/>
      <c r="D11" s="5" t="s">
        <v>354</v>
      </c>
      <c r="E11" s="3"/>
      <c r="F11" s="3"/>
      <c r="H11" s="1">
        <v>10</v>
      </c>
      <c r="I11" s="1" t="str">
        <f t="shared" ca="1" si="0"/>
        <v>(19) BACCAY MARTINA JENE
DLSZ / PHI</v>
      </c>
      <c r="J11" s="1" t="str">
        <f t="shared" ca="1" si="1"/>
        <v>(14) MENDOZA JENNINA
UP / PHI</v>
      </c>
      <c r="K11" s="1" t="str">
        <f t="shared" ca="1" si="2"/>
        <v>(14) MENDOZA JENNINA</v>
      </c>
      <c r="L11" s="1" t="str">
        <f t="shared" ca="1" si="3"/>
        <v>15 - 2</v>
      </c>
    </row>
    <row r="12" spans="1:12" ht="15.75" customHeight="1">
      <c r="A12" s="5"/>
      <c r="B12" s="4" t="s">
        <v>355</v>
      </c>
      <c r="C12" s="8"/>
      <c r="D12" s="8"/>
      <c r="E12" s="3"/>
      <c r="F12" s="3"/>
      <c r="H12" s="1">
        <v>11</v>
      </c>
      <c r="I12" s="1" t="str">
        <f t="shared" ca="1" si="0"/>
        <v>(11) TRINIDAD SOLANA MAYUMI
EZKRIMA / PHI</v>
      </c>
      <c r="J12" s="1" t="str">
        <f t="shared" ca="1" si="1"/>
        <v>(22) CAPINA MIYAKE
DLSZ / PHI</v>
      </c>
      <c r="K12" s="1" t="str">
        <f t="shared" ca="1" si="2"/>
        <v>(11) TRINIDAD SOLANA MAYUMI</v>
      </c>
      <c r="L12" s="1" t="str">
        <f t="shared" ca="1" si="3"/>
        <v>15 - 8</v>
      </c>
    </row>
    <row r="13" spans="1:12" ht="15.75" customHeight="1">
      <c r="A13" s="6" t="s">
        <v>356</v>
      </c>
      <c r="B13" s="5" t="s">
        <v>357</v>
      </c>
      <c r="C13" s="8"/>
      <c r="D13" s="8"/>
      <c r="E13" s="3"/>
      <c r="F13" s="3"/>
      <c r="H13" s="1">
        <v>12</v>
      </c>
      <c r="I13" s="1" t="str">
        <f t="shared" ca="1" si="0"/>
        <v>(27) - BYE -</v>
      </c>
      <c r="J13" s="1" t="str">
        <f t="shared" ca="1" si="1"/>
        <v>(6) SANDOVAL JUSTA ANDREA
CF / PHI</v>
      </c>
      <c r="K13" s="1" t="str">
        <f t="shared" ca="1" si="2"/>
        <v>(6) SANDOVAL JUSTA ANDREA</v>
      </c>
      <c r="L13" s="1">
        <f t="shared" ca="1" si="3"/>
        <v>0</v>
      </c>
    </row>
    <row r="14" spans="1:12" ht="15.75" customHeight="1">
      <c r="A14" s="7"/>
      <c r="B14" s="8"/>
      <c r="C14" s="6" t="s">
        <v>358</v>
      </c>
      <c r="D14" s="8"/>
      <c r="E14" s="3"/>
      <c r="F14" s="3"/>
      <c r="H14" s="1">
        <v>13</v>
      </c>
      <c r="I14" s="1" t="str">
        <f t="shared" ca="1" si="0"/>
        <v>(7) BUSTOS MICKYLE REIN
RF / PHI</v>
      </c>
      <c r="J14" s="1" t="str">
        <f t="shared" ca="1" si="1"/>
        <v>(26) - BYE -</v>
      </c>
      <c r="K14" s="1" t="str">
        <f t="shared" ca="1" si="2"/>
        <v>(7) BUSTOS MICKYLE REIN</v>
      </c>
      <c r="L14" s="1">
        <f t="shared" ca="1" si="3"/>
        <v>0</v>
      </c>
    </row>
    <row r="15" spans="1:12" ht="15.75" customHeight="1">
      <c r="A15" s="4" t="s">
        <v>359</v>
      </c>
      <c r="B15" s="8"/>
      <c r="C15" s="7" t="s">
        <v>360</v>
      </c>
      <c r="D15" s="8"/>
      <c r="E15" s="3"/>
      <c r="F15" s="3"/>
      <c r="H15" s="1">
        <v>14</v>
      </c>
      <c r="I15" s="1" t="str">
        <f t="shared" ca="1" si="0"/>
        <v>(23) CARIG SOPHIA
OF / PHI</v>
      </c>
      <c r="J15" s="1" t="str">
        <f t="shared" ca="1" si="1"/>
        <v>(10) CANLAS NINA DOMINIQUE
UE / PHI</v>
      </c>
      <c r="K15" s="1" t="str">
        <f t="shared" ca="1" si="2"/>
        <v>(10) CANLAS NINA DOMINIQUE</v>
      </c>
      <c r="L15" s="1" t="str">
        <f t="shared" ca="1" si="3"/>
        <v>15 - 9</v>
      </c>
    </row>
    <row r="16" spans="1:12" ht="15.75" customHeight="1">
      <c r="A16" s="5"/>
      <c r="B16" s="6" t="s">
        <v>361</v>
      </c>
      <c r="C16" s="3"/>
      <c r="D16" s="8"/>
      <c r="E16" s="3"/>
      <c r="F16" s="3"/>
      <c r="H16" s="1">
        <v>15</v>
      </c>
      <c r="I16" s="1" t="str">
        <f t="shared" ca="1" si="0"/>
        <v>(15) TORRE PAPINA MARGUERITE
AF / PHI</v>
      </c>
      <c r="J16" s="1" t="str">
        <f t="shared" ca="1" si="1"/>
        <v>(18) SYKAT ROBYN NOELLE
RF / PHI</v>
      </c>
      <c r="K16" s="1" t="str">
        <f t="shared" ca="1" si="2"/>
        <v>(15) TORRE PAPINA MARGUERITE</v>
      </c>
      <c r="L16" s="1" t="str">
        <f t="shared" ca="1" si="3"/>
        <v>11 - 10</v>
      </c>
    </row>
    <row r="17" spans="1:12" ht="15.75" customHeight="1">
      <c r="A17" s="6" t="s">
        <v>362</v>
      </c>
      <c r="B17" s="7" t="s">
        <v>63</v>
      </c>
      <c r="C17" s="3"/>
      <c r="D17" s="8"/>
      <c r="E17" s="3"/>
      <c r="F17" s="3"/>
      <c r="H17" s="1">
        <v>16</v>
      </c>
      <c r="I17" s="1" t="str">
        <f t="shared" ca="1" si="0"/>
        <v>(31) - BYE -</v>
      </c>
      <c r="J17" s="1" t="str">
        <f t="shared" ca="1" si="1"/>
        <v>(2) DINOY IVY CLAIRE
PMPA / PHI</v>
      </c>
      <c r="K17" s="1" t="str">
        <f t="shared" ca="1" si="2"/>
        <v>(2) DINOY IVY CLAIRE</v>
      </c>
      <c r="L17" s="1">
        <f t="shared" ca="1" si="3"/>
        <v>0</v>
      </c>
    </row>
    <row r="18" spans="1:12" ht="15.75" customHeight="1">
      <c r="A18" s="7"/>
      <c r="B18" s="3"/>
      <c r="C18" s="3"/>
      <c r="D18" s="8"/>
      <c r="E18" s="4" t="s">
        <v>236</v>
      </c>
      <c r="F18" s="3"/>
      <c r="H18" s="1">
        <v>1</v>
      </c>
      <c r="I18" s="1" t="str">
        <f t="shared" ref="I18:I25" ca="1" si="4">INDIRECT("B" &amp; (4 + ($H18-1)*4))</f>
        <v>(1) ABELLA HANNIEL</v>
      </c>
      <c r="J18" s="1" t="str">
        <f t="shared" ref="J18:J25" ca="1" si="5">INDIRECT("B" &amp; (8 + ($H18-1)*4))</f>
        <v>(16) FLORES MARIEL ELIANNE FRANCESCA</v>
      </c>
      <c r="K18" s="1" t="str">
        <f t="shared" ref="K18:K25" ca="1" si="6">INDIRECT("C" &amp; (6 + ($H18-1)*4))</f>
        <v>(1) ABELLA HANNIEL</v>
      </c>
      <c r="L18" s="1" t="str">
        <f t="shared" ref="L18:L25" ca="1" si="7">INDIRECT("C" &amp; (7 + ($H18-1)*4))</f>
        <v>15 - 9
11:15 AM</v>
      </c>
    </row>
    <row r="19" spans="1:12" ht="15.75" customHeight="1">
      <c r="A19" s="9" t="s">
        <v>363</v>
      </c>
      <c r="B19" s="10"/>
      <c r="C19" s="10"/>
      <c r="D19" s="11"/>
      <c r="E19" s="12" t="s">
        <v>364</v>
      </c>
      <c r="F19" s="10"/>
      <c r="H19" s="1">
        <v>3</v>
      </c>
      <c r="I19" s="1" t="str">
        <f t="shared" ca="1" si="4"/>
        <v>(9) DELOS SANTOS JAYMI</v>
      </c>
      <c r="J19" s="1" t="str">
        <f t="shared" ca="1" si="5"/>
        <v>(8) UY JANA ANNIKA</v>
      </c>
      <c r="K19" s="1" t="str">
        <f t="shared" ca="1" si="6"/>
        <v>(8) DELOS SANTOS JAYMI</v>
      </c>
      <c r="L19" s="1" t="str">
        <f t="shared" ca="1" si="7"/>
        <v>15 - 13
11:23 AM</v>
      </c>
    </row>
    <row r="20" spans="1:12" ht="15.75" customHeight="1">
      <c r="A20" s="12"/>
      <c r="B20" s="9" t="s">
        <v>365</v>
      </c>
      <c r="C20" s="10"/>
      <c r="D20" s="11"/>
      <c r="E20" s="11"/>
      <c r="F20" s="10"/>
      <c r="H20" s="1">
        <v>5</v>
      </c>
      <c r="I20" s="1" t="str">
        <f t="shared" ca="1" si="4"/>
        <v>(5) HARRISON ASHLEY MAE MICHELLE</v>
      </c>
      <c r="J20" s="1" t="str">
        <f t="shared" ca="1" si="5"/>
        <v>(12) MATIAS ANDREA JENNELLE</v>
      </c>
      <c r="K20" s="1" t="str">
        <f t="shared" ca="1" si="6"/>
        <v>(5) HARRISON ASHLEY MAE MICHELLE</v>
      </c>
      <c r="L20" s="1" t="str">
        <f t="shared" ca="1" si="7"/>
        <v>15 - 12
11:21 AM</v>
      </c>
    </row>
    <row r="21" spans="1:12" ht="15.75" customHeight="1">
      <c r="A21" s="13" t="s">
        <v>366</v>
      </c>
      <c r="B21" s="12"/>
      <c r="C21" s="10"/>
      <c r="D21" s="11"/>
      <c r="E21" s="11"/>
      <c r="F21" s="10"/>
      <c r="H21" s="1">
        <v>7</v>
      </c>
      <c r="I21" s="1" t="str">
        <f t="shared" ca="1" si="4"/>
        <v>(13) EDNILAG KRUPSKAYA</v>
      </c>
      <c r="J21" s="1" t="str">
        <f t="shared" ca="1" si="5"/>
        <v>(4) GOMEZ JULIANA MA. BEATRICE</v>
      </c>
      <c r="K21" s="1" t="str">
        <f t="shared" ca="1" si="6"/>
        <v>(4) GOMEZ JULIANA MA. BEATRICE</v>
      </c>
      <c r="L21" s="1" t="str">
        <f t="shared" ca="1" si="7"/>
        <v>15 - 7
11:15 AM</v>
      </c>
    </row>
    <row r="22" spans="1:12" ht="15.75" customHeight="1">
      <c r="A22" s="14"/>
      <c r="B22" s="11"/>
      <c r="C22" s="9" t="s">
        <v>365</v>
      </c>
      <c r="D22" s="11"/>
      <c r="E22" s="11"/>
      <c r="F22" s="10"/>
      <c r="H22" s="1">
        <v>9</v>
      </c>
      <c r="I22" s="1" t="str">
        <f t="shared" ca="1" si="4"/>
        <v>(3) LARRAZABAL ALEXA</v>
      </c>
      <c r="J22" s="1" t="str">
        <f t="shared" ca="1" si="5"/>
        <v>(14) MENDOZA JENNINA</v>
      </c>
      <c r="K22" s="1" t="str">
        <f t="shared" ca="1" si="6"/>
        <v>(3) LARRAZABAL ALEXA</v>
      </c>
      <c r="L22" s="1" t="str">
        <f t="shared" ca="1" si="7"/>
        <v>15 - 7
11:21 AM</v>
      </c>
    </row>
    <row r="23" spans="1:12" ht="15.75" customHeight="1">
      <c r="A23" s="9" t="s">
        <v>367</v>
      </c>
      <c r="B23" s="11"/>
      <c r="C23" s="12" t="s">
        <v>368</v>
      </c>
      <c r="D23" s="11"/>
      <c r="E23" s="11"/>
      <c r="F23" s="10"/>
      <c r="H23" s="1">
        <v>11</v>
      </c>
      <c r="I23" s="1" t="str">
        <f t="shared" ca="1" si="4"/>
        <v>(11) TRINIDAD SOLANA MAYUMI</v>
      </c>
      <c r="J23" s="1" t="str">
        <f t="shared" ca="1" si="5"/>
        <v>(6) SANDOVAL JUSTA ANDREA</v>
      </c>
      <c r="K23" s="1" t="str">
        <f t="shared" ca="1" si="6"/>
        <v>(6) TRINIDAD SOLANA MAYUMI</v>
      </c>
      <c r="L23" s="1" t="str">
        <f t="shared" ca="1" si="7"/>
        <v>13 - 7
11:18 AM</v>
      </c>
    </row>
    <row r="24" spans="1:12" ht="15.75" customHeight="1">
      <c r="A24" s="12"/>
      <c r="B24" s="13" t="s">
        <v>369</v>
      </c>
      <c r="C24" s="11"/>
      <c r="D24" s="11"/>
      <c r="E24" s="11"/>
      <c r="F24" s="10"/>
      <c r="H24" s="1">
        <v>13</v>
      </c>
      <c r="I24" s="1" t="str">
        <f t="shared" ca="1" si="4"/>
        <v>(7) BUSTOS MICKYLE REIN</v>
      </c>
      <c r="J24" s="1" t="str">
        <f t="shared" ca="1" si="5"/>
        <v>(10) CANLAS NINA DOMINIQUE</v>
      </c>
      <c r="K24" s="1" t="str">
        <f t="shared" ca="1" si="6"/>
        <v>(7) BUSTOS MICKYLE REIN</v>
      </c>
      <c r="L24" s="1" t="str">
        <f t="shared" ca="1" si="7"/>
        <v>15 - 11
11:17 AM</v>
      </c>
    </row>
    <row r="25" spans="1:12" ht="15.75" customHeight="1">
      <c r="A25" s="13" t="s">
        <v>370</v>
      </c>
      <c r="B25" s="14" t="s">
        <v>63</v>
      </c>
      <c r="C25" s="11"/>
      <c r="D25" s="11"/>
      <c r="E25" s="11"/>
      <c r="F25" s="10"/>
      <c r="H25" s="1">
        <v>15</v>
      </c>
      <c r="I25" s="1" t="str">
        <f t="shared" ca="1" si="4"/>
        <v>(15) TORRE PAPINA MARGUERITE</v>
      </c>
      <c r="J25" s="1" t="str">
        <f t="shared" ca="1" si="5"/>
        <v>(2) DINOY IVY CLAIRE</v>
      </c>
      <c r="K25" s="1" t="str">
        <f t="shared" ca="1" si="6"/>
        <v>(2) DINOY IVY CLAIRE</v>
      </c>
      <c r="L25" s="1" t="str">
        <f t="shared" ca="1" si="7"/>
        <v>15 - 4
11:38 AM</v>
      </c>
    </row>
    <row r="26" spans="1:12" ht="15.75" customHeight="1">
      <c r="A26" s="14"/>
      <c r="B26" s="10"/>
      <c r="C26" s="11"/>
      <c r="D26" s="13" t="s">
        <v>142</v>
      </c>
      <c r="E26" s="11"/>
      <c r="F26" s="10"/>
      <c r="H26" s="1">
        <v>1</v>
      </c>
      <c r="I26" s="1" t="str">
        <f t="shared" ref="I26:I29" ca="1" si="8">INDIRECT("C" &amp; (6 + ($H26-1)*4))</f>
        <v>(1) ABELLA HANNIEL</v>
      </c>
      <c r="J26" s="1" t="str">
        <f t="shared" ref="J26:J29" ca="1" si="9">INDIRECT("C" &amp; (14 + ($H26-1)*4))</f>
        <v>(8) DELOS SANTOS JAYMI</v>
      </c>
      <c r="K26" s="1" t="str">
        <f t="shared" ref="K26:K29" ca="1" si="10">INDIRECT("D" &amp; (10 + ($H26-1)*4))</f>
        <v>(1) ABELLA HANNIEL</v>
      </c>
      <c r="L26" s="1" t="str">
        <f t="shared" ref="L26:L29" ca="1" si="11">INDIRECT("D" &amp; (11 + ($H26-1)*4))</f>
        <v>15 - 11
12:02 PM</v>
      </c>
    </row>
    <row r="27" spans="1:12" ht="15.75" customHeight="1">
      <c r="A27" s="9" t="s">
        <v>371</v>
      </c>
      <c r="B27" s="10"/>
      <c r="C27" s="11"/>
      <c r="D27" s="14" t="s">
        <v>372</v>
      </c>
      <c r="E27" s="11"/>
      <c r="F27" s="10"/>
      <c r="H27" s="1">
        <v>5</v>
      </c>
      <c r="I27" s="1" t="str">
        <f t="shared" ca="1" si="8"/>
        <v>(5) HARRISON ASHLEY MAE MICHELLE</v>
      </c>
      <c r="J27" s="1" t="str">
        <f t="shared" ca="1" si="9"/>
        <v>(4) GOMEZ JULIANA MA. BEATRICE</v>
      </c>
      <c r="K27" s="1" t="str">
        <f t="shared" ca="1" si="10"/>
        <v>(4) GOMEZ JULIANA MA. BEATRICE</v>
      </c>
      <c r="L27" s="1" t="str">
        <f t="shared" ca="1" si="11"/>
        <v>12 - 11
12:03 PM</v>
      </c>
    </row>
    <row r="28" spans="1:12" ht="15.75" customHeight="1">
      <c r="A28" s="12"/>
      <c r="B28" s="9" t="s">
        <v>373</v>
      </c>
      <c r="C28" s="11"/>
      <c r="D28" s="10"/>
      <c r="E28" s="11"/>
      <c r="F28" s="10"/>
      <c r="H28" s="1">
        <v>9</v>
      </c>
      <c r="I28" s="1" t="str">
        <f t="shared" ca="1" si="8"/>
        <v>(3) LARRAZABAL ALEXA</v>
      </c>
      <c r="J28" s="1" t="str">
        <f t="shared" ca="1" si="9"/>
        <v>(6) TRINIDAD SOLANA MAYUMI</v>
      </c>
      <c r="K28" s="1" t="str">
        <f t="shared" ca="1" si="10"/>
        <v>(3) LARRAZABAL ALEXA</v>
      </c>
      <c r="L28" s="1" t="str">
        <f t="shared" ca="1" si="11"/>
        <v>15 - 8
12:03 PM</v>
      </c>
    </row>
    <row r="29" spans="1:12" ht="15.75" customHeight="1">
      <c r="A29" s="13" t="s">
        <v>374</v>
      </c>
      <c r="B29" s="12" t="s">
        <v>68</v>
      </c>
      <c r="C29" s="11"/>
      <c r="D29" s="10"/>
      <c r="E29" s="11"/>
      <c r="F29" s="10"/>
      <c r="H29" s="1">
        <v>13</v>
      </c>
      <c r="I29" s="1" t="str">
        <f t="shared" ca="1" si="8"/>
        <v>(7) BUSTOS MICKYLE REIN</v>
      </c>
      <c r="J29" s="1" t="str">
        <f t="shared" ca="1" si="9"/>
        <v>(2) DINOY IVY CLAIRE</v>
      </c>
      <c r="K29" s="1" t="str">
        <f t="shared" ca="1" si="10"/>
        <v>(2) DINOY IVY CLAIRE</v>
      </c>
      <c r="L29" s="1" t="str">
        <f t="shared" ca="1" si="11"/>
        <v>15 - 9
12:00 PM</v>
      </c>
    </row>
    <row r="30" spans="1:12" ht="15.75" customHeight="1">
      <c r="A30" s="14"/>
      <c r="B30" s="11"/>
      <c r="C30" s="13" t="s">
        <v>142</v>
      </c>
      <c r="D30" s="10"/>
      <c r="E30" s="11"/>
      <c r="F30" s="10"/>
      <c r="H30" s="1">
        <v>1</v>
      </c>
      <c r="I30" s="1" t="str">
        <f t="shared" ref="I30:I31" ca="1" si="12">INDIRECT("D" &amp; (10 + ($H30-1)*4))</f>
        <v>(1) ABELLA HANNIEL</v>
      </c>
      <c r="J30" s="1" t="str">
        <f t="shared" ref="J30:J31" ca="1" si="13">INDIRECT("D" &amp; (26 + ($H30-1)*4))</f>
        <v>(4) GOMEZ JULIANA MA. BEATRICE</v>
      </c>
      <c r="K30" s="1" t="str">
        <f t="shared" ref="K30:K31" ca="1" si="14">INDIRECT("E" &amp; (18 + ($H30-1)*4))</f>
        <v>(1) ABELLA HANNIEL</v>
      </c>
      <c r="L30" s="1" t="str">
        <f t="shared" ref="L30:L31" ca="1" si="15">INDIRECT("E" &amp; (19 + ($H30-1)*4))</f>
        <v>15 - 11
12:38 PM</v>
      </c>
    </row>
    <row r="31" spans="1:12" ht="15.75" customHeight="1">
      <c r="A31" s="9" t="s">
        <v>375</v>
      </c>
      <c r="B31" s="11"/>
      <c r="C31" s="14" t="s">
        <v>376</v>
      </c>
      <c r="D31" s="10"/>
      <c r="E31" s="11"/>
      <c r="F31" s="10"/>
      <c r="H31" s="1">
        <v>9</v>
      </c>
      <c r="I31" s="1" t="str">
        <f t="shared" ca="1" si="12"/>
        <v>(3) LARRAZABAL ALEXA</v>
      </c>
      <c r="J31" s="1" t="str">
        <f t="shared" ca="1" si="13"/>
        <v>(2) DINOY IVY CLAIRE</v>
      </c>
      <c r="K31" s="1" t="str">
        <f t="shared" ca="1" si="14"/>
        <v>(2) LARRAZABAL ALEXA</v>
      </c>
      <c r="L31" s="1" t="str">
        <f t="shared" ca="1" si="15"/>
        <v>15 - 12
12:39 PM</v>
      </c>
    </row>
    <row r="32" spans="1:12" ht="15.75" customHeight="1">
      <c r="A32" s="12"/>
      <c r="B32" s="13" t="s">
        <v>142</v>
      </c>
      <c r="C32" s="10"/>
      <c r="D32" s="10"/>
      <c r="E32" s="11"/>
      <c r="F32" s="10"/>
      <c r="H32" s="1">
        <v>1</v>
      </c>
      <c r="I32" s="1" t="str">
        <f t="array" aca="1" ref="I32" ca="1">INDIRECT("E" &amp; (18 + ($H32-1)*4))</f>
        <v>(1) ABELLA HANNIEL</v>
      </c>
      <c r="J32" s="1" t="str">
        <f t="array" aca="1" ref="J32" ca="1">INDIRECT("E" &amp; (50 + ($H32-1)*4))</f>
        <v>(2) LARRAZABAL ALEXA</v>
      </c>
      <c r="K32" s="1" t="str">
        <f t="array" aca="1" ref="K32" ca="1">INDIRECT("F" &amp; (34 + ($H32-1)*4))</f>
        <v>(1) LARRAZABAL ALEXA</v>
      </c>
      <c r="L32" s="1" t="str">
        <f t="array" aca="1" ref="L32" ca="1">INDIRECT("F" &amp; (35 + ($H32-1)*4))</f>
        <v>15 - 14
1:22 PM</v>
      </c>
    </row>
    <row r="33" spans="1:6" ht="15.75" customHeight="1">
      <c r="A33" s="13" t="s">
        <v>377</v>
      </c>
      <c r="B33" s="14"/>
      <c r="C33" s="10"/>
      <c r="D33" s="10"/>
      <c r="E33" s="11"/>
      <c r="F33" s="10"/>
    </row>
    <row r="34" spans="1:6" ht="15.75" customHeight="1">
      <c r="A34" s="14"/>
      <c r="B34" s="10"/>
      <c r="C34" s="10"/>
      <c r="D34" s="10"/>
      <c r="E34" s="11"/>
      <c r="F34" s="9" t="s">
        <v>11</v>
      </c>
    </row>
    <row r="35" spans="1:6" ht="15.75" customHeight="1">
      <c r="A35" s="4" t="s">
        <v>378</v>
      </c>
      <c r="B35" s="3"/>
      <c r="C35" s="3"/>
      <c r="D35" s="3"/>
      <c r="E35" s="8"/>
      <c r="F35" s="7" t="s">
        <v>379</v>
      </c>
    </row>
    <row r="36" spans="1:6" ht="15.75" customHeight="1">
      <c r="A36" s="5"/>
      <c r="B36" s="4" t="s">
        <v>380</v>
      </c>
      <c r="C36" s="3"/>
      <c r="D36" s="3"/>
      <c r="E36" s="8"/>
      <c r="F36" s="3"/>
    </row>
    <row r="37" spans="1:6" ht="15.75" customHeight="1">
      <c r="A37" s="6" t="s">
        <v>381</v>
      </c>
      <c r="B37" s="5"/>
      <c r="C37" s="3"/>
      <c r="D37" s="3"/>
      <c r="E37" s="8"/>
      <c r="F37" s="3"/>
    </row>
    <row r="38" spans="1:6" ht="15.75" customHeight="1">
      <c r="A38" s="7"/>
      <c r="B38" s="8"/>
      <c r="C38" s="4" t="s">
        <v>380</v>
      </c>
      <c r="D38" s="3"/>
      <c r="E38" s="8"/>
      <c r="F38" s="3"/>
    </row>
    <row r="39" spans="1:6" ht="15.75" customHeight="1">
      <c r="A39" s="4" t="s">
        <v>382</v>
      </c>
      <c r="B39" s="8"/>
      <c r="C39" s="5" t="s">
        <v>383</v>
      </c>
      <c r="D39" s="3"/>
      <c r="E39" s="8"/>
      <c r="F39" s="3"/>
    </row>
    <row r="40" spans="1:6" ht="15.75" customHeight="1">
      <c r="A40" s="5"/>
      <c r="B40" s="6" t="s">
        <v>321</v>
      </c>
      <c r="C40" s="8"/>
      <c r="D40" s="3"/>
      <c r="E40" s="8"/>
      <c r="F40" s="3"/>
    </row>
    <row r="41" spans="1:6" ht="15.75" customHeight="1">
      <c r="A41" s="6" t="s">
        <v>322</v>
      </c>
      <c r="B41" s="7" t="s">
        <v>37</v>
      </c>
      <c r="C41" s="8"/>
      <c r="D41" s="3"/>
      <c r="E41" s="8"/>
      <c r="F41" s="3"/>
    </row>
    <row r="42" spans="1:6" ht="15.75" customHeight="1">
      <c r="A42" s="7"/>
      <c r="B42" s="3"/>
      <c r="C42" s="8"/>
      <c r="D42" s="4" t="s">
        <v>380</v>
      </c>
      <c r="E42" s="8"/>
      <c r="F42" s="3"/>
    </row>
    <row r="43" spans="1:6" ht="15.75" customHeight="1">
      <c r="A43" s="4" t="s">
        <v>384</v>
      </c>
      <c r="B43" s="3"/>
      <c r="C43" s="8"/>
      <c r="D43" s="5" t="s">
        <v>385</v>
      </c>
      <c r="E43" s="8"/>
      <c r="F43" s="3"/>
    </row>
    <row r="44" spans="1:6" ht="15.75" customHeight="1">
      <c r="A44" s="5"/>
      <c r="B44" s="4" t="s">
        <v>386</v>
      </c>
      <c r="C44" s="8"/>
      <c r="D44" s="8"/>
      <c r="E44" s="8"/>
      <c r="F44" s="3"/>
    </row>
    <row r="45" spans="1:6" ht="15.75" customHeight="1">
      <c r="A45" s="6" t="s">
        <v>387</v>
      </c>
      <c r="B45" s="5" t="s">
        <v>18</v>
      </c>
      <c r="C45" s="8"/>
      <c r="D45" s="8"/>
      <c r="E45" s="8"/>
      <c r="F45" s="3"/>
    </row>
    <row r="46" spans="1:6" ht="15.75" customHeight="1">
      <c r="A46" s="7"/>
      <c r="B46" s="8"/>
      <c r="C46" s="6" t="s">
        <v>388</v>
      </c>
      <c r="D46" s="8"/>
      <c r="E46" s="8"/>
      <c r="F46" s="3"/>
    </row>
    <row r="47" spans="1:6" ht="15.75" customHeight="1">
      <c r="A47" s="4" t="s">
        <v>389</v>
      </c>
      <c r="B47" s="8"/>
      <c r="C47" s="7" t="s">
        <v>390</v>
      </c>
      <c r="D47" s="8"/>
      <c r="E47" s="8"/>
      <c r="F47" s="3"/>
    </row>
    <row r="48" spans="1:6" ht="15.75" customHeight="1">
      <c r="A48" s="5"/>
      <c r="B48" s="6" t="s">
        <v>391</v>
      </c>
      <c r="C48" s="3"/>
      <c r="D48" s="8"/>
      <c r="E48" s="8"/>
      <c r="F48" s="3"/>
    </row>
    <row r="49" spans="1:6" ht="15.75" customHeight="1">
      <c r="A49" s="6" t="s">
        <v>392</v>
      </c>
      <c r="B49" s="7"/>
      <c r="C49" s="3"/>
      <c r="D49" s="8"/>
      <c r="E49" s="8"/>
      <c r="F49" s="3"/>
    </row>
    <row r="50" spans="1:6" ht="15.75" customHeight="1">
      <c r="A50" s="7"/>
      <c r="B50" s="3"/>
      <c r="C50" s="3"/>
      <c r="D50" s="8"/>
      <c r="E50" s="6" t="s">
        <v>189</v>
      </c>
      <c r="F50" s="3"/>
    </row>
    <row r="51" spans="1:6" ht="15.75" customHeight="1">
      <c r="A51" s="9" t="s">
        <v>393</v>
      </c>
      <c r="B51" s="10"/>
      <c r="C51" s="10"/>
      <c r="D51" s="11"/>
      <c r="E51" s="14" t="s">
        <v>394</v>
      </c>
      <c r="F51" s="10"/>
    </row>
    <row r="52" spans="1:6" ht="15.75" customHeight="1">
      <c r="A52" s="12"/>
      <c r="B52" s="9" t="s">
        <v>395</v>
      </c>
      <c r="C52" s="10"/>
      <c r="D52" s="11"/>
      <c r="E52" s="10"/>
      <c r="F52" s="10"/>
    </row>
    <row r="53" spans="1:6" ht="15.75" customHeight="1">
      <c r="A53" s="13" t="s">
        <v>396</v>
      </c>
      <c r="B53" s="12"/>
      <c r="C53" s="10"/>
      <c r="D53" s="11"/>
      <c r="E53" s="10"/>
      <c r="F53" s="10"/>
    </row>
    <row r="54" spans="1:6" ht="15.75" customHeight="1">
      <c r="A54" s="14"/>
      <c r="B54" s="11"/>
      <c r="C54" s="9" t="s">
        <v>395</v>
      </c>
      <c r="D54" s="11"/>
      <c r="E54" s="10"/>
      <c r="F54" s="10"/>
    </row>
    <row r="55" spans="1:6" ht="15.75" customHeight="1">
      <c r="A55" s="9" t="s">
        <v>397</v>
      </c>
      <c r="B55" s="11"/>
      <c r="C55" s="12" t="s">
        <v>398</v>
      </c>
      <c r="D55" s="11"/>
      <c r="E55" s="10"/>
      <c r="F55" s="10"/>
    </row>
    <row r="56" spans="1:6" ht="15.75" customHeight="1">
      <c r="A56" s="12"/>
      <c r="B56" s="13" t="s">
        <v>399</v>
      </c>
      <c r="C56" s="11"/>
      <c r="D56" s="11"/>
      <c r="E56" s="10"/>
      <c r="F56" s="10"/>
    </row>
    <row r="57" spans="1:6" ht="15.75" customHeight="1">
      <c r="A57" s="13" t="s">
        <v>400</v>
      </c>
      <c r="B57" s="14" t="s">
        <v>47</v>
      </c>
      <c r="C57" s="11"/>
      <c r="D57" s="11"/>
      <c r="E57" s="10"/>
      <c r="F57" s="10"/>
    </row>
    <row r="58" spans="1:6" ht="15.75" customHeight="1">
      <c r="A58" s="14"/>
      <c r="B58" s="10"/>
      <c r="C58" s="11"/>
      <c r="D58" s="13" t="s">
        <v>270</v>
      </c>
      <c r="E58" s="10"/>
      <c r="F58" s="10"/>
    </row>
    <row r="59" spans="1:6" ht="15.75" customHeight="1">
      <c r="A59" s="9" t="s">
        <v>401</v>
      </c>
      <c r="B59" s="10"/>
      <c r="C59" s="11"/>
      <c r="D59" s="14" t="s">
        <v>402</v>
      </c>
      <c r="E59" s="10"/>
      <c r="F59" s="10"/>
    </row>
    <row r="60" spans="1:6" ht="15.75" customHeight="1">
      <c r="A60" s="12"/>
      <c r="B60" s="9" t="s">
        <v>403</v>
      </c>
      <c r="C60" s="11"/>
      <c r="D60" s="10"/>
      <c r="E60" s="10"/>
      <c r="F60" s="10"/>
    </row>
    <row r="61" spans="1:6" ht="15.75" customHeight="1">
      <c r="A61" s="13" t="s">
        <v>404</v>
      </c>
      <c r="B61" s="12" t="s">
        <v>165</v>
      </c>
      <c r="C61" s="11"/>
      <c r="D61" s="10"/>
      <c r="E61" s="10"/>
      <c r="F61" s="10"/>
    </row>
    <row r="62" spans="1:6" ht="15.75" customHeight="1">
      <c r="A62" s="14"/>
      <c r="B62" s="11"/>
      <c r="C62" s="13" t="s">
        <v>270</v>
      </c>
      <c r="D62" s="10"/>
      <c r="E62" s="10"/>
      <c r="F62" s="10"/>
    </row>
    <row r="63" spans="1:6" ht="15.75" customHeight="1">
      <c r="A63" s="9" t="s">
        <v>405</v>
      </c>
      <c r="B63" s="11"/>
      <c r="C63" s="14" t="s">
        <v>406</v>
      </c>
      <c r="D63" s="10"/>
      <c r="E63" s="10"/>
      <c r="F63" s="10"/>
    </row>
    <row r="64" spans="1:6" ht="13">
      <c r="A64" s="12"/>
      <c r="B64" s="13" t="s">
        <v>270</v>
      </c>
      <c r="C64" s="10"/>
      <c r="D64" s="10"/>
      <c r="E64" s="10"/>
      <c r="F64" s="10"/>
    </row>
    <row r="65" spans="1:6" ht="13">
      <c r="A65" s="13" t="s">
        <v>407</v>
      </c>
      <c r="B65" s="14"/>
      <c r="C65" s="10"/>
      <c r="D65" s="10"/>
      <c r="E65" s="10"/>
      <c r="F65" s="10"/>
    </row>
    <row r="66" spans="1:6" ht="13">
      <c r="A66" s="14"/>
      <c r="B66" s="10"/>
      <c r="C66" s="10"/>
      <c r="D66" s="10"/>
      <c r="E66" s="10"/>
      <c r="F66" s="10"/>
    </row>
    <row r="67" spans="1:6" ht="13">
      <c r="A67" s="15" t="s">
        <v>88</v>
      </c>
    </row>
    <row r="68" spans="1:6" ht="13">
      <c r="A68" s="16" t="s">
        <v>408</v>
      </c>
    </row>
    <row r="69" spans="1:6" ht="13">
      <c r="A69" s="16" t="s">
        <v>409</v>
      </c>
    </row>
  </sheetData>
  <hyperlinks>
    <hyperlink ref="A68" r:id="rId1" xr:uid="{00000000-0004-0000-0500-000000000000}"/>
    <hyperlink ref="A69" r:id="rId2" xr:uid="{00000000-0004-0000-05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8"/>
  <sheetViews>
    <sheetView topLeftCell="A2" workbookViewId="0">
      <selection activeCell="J49" sqref="J49"/>
    </sheetView>
  </sheetViews>
  <sheetFormatPr baseColWidth="10" defaultColWidth="12.66406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1">
        <v>1</v>
      </c>
      <c r="B2" s="1" t="str">
        <f ca="1">'Leg 1'!I2</f>
        <v>(1) LARRAZABAL ALEXA
NTP / PHI</v>
      </c>
      <c r="C2" s="1" t="str">
        <f ca="1">'Leg 1'!J2</f>
        <v>(32) TRINIDAD SOLANA MAYUMI
EZKRIMA / PHI</v>
      </c>
      <c r="D2" s="1" t="str">
        <f ca="1">'Leg 1'!K2</f>
        <v>(1) LARRAZABAL ALEXA</v>
      </c>
      <c r="E2" s="1" t="str">
        <f ca="1">'Leg 1'!L2</f>
        <v>15 - 5</v>
      </c>
    </row>
    <row r="3" spans="1:5" ht="15.75" customHeight="1">
      <c r="A3" s="1">
        <v>1</v>
      </c>
      <c r="B3" s="1" t="str">
        <f ca="1">'Leg 1'!I3</f>
        <v>(17) MANAOIS IRISH
UE / PHI</v>
      </c>
      <c r="C3" s="1" t="str">
        <f ca="1">'Leg 1'!J3</f>
        <v>(16) ONG JICKLE CLAIN
CF / PHI</v>
      </c>
      <c r="D3" s="1" t="str">
        <f ca="1">'Leg 1'!K3</f>
        <v>(16) ONG JICKLE CLAIN</v>
      </c>
      <c r="E3" s="1" t="str">
        <f ca="1">'Leg 1'!L3</f>
        <v>15 - 8</v>
      </c>
    </row>
    <row r="4" spans="1:5" ht="15.75" customHeight="1">
      <c r="A4" s="1">
        <v>1</v>
      </c>
      <c r="B4" s="1" t="str">
        <f ca="1">'Leg 1'!I4</f>
        <v>(9) VILLAPANDO JHOLAN
DLSU / PHI</v>
      </c>
      <c r="C4" s="1" t="str">
        <f ca="1">'Leg 1'!J4</f>
        <v>(24) BERNABE FRANCESCA BETTINA
ADMU / PHI</v>
      </c>
      <c r="D4" s="1" t="str">
        <f ca="1">'Leg 1'!K4</f>
        <v>(9) BERNABE FRANCESCA BETTINA</v>
      </c>
      <c r="E4" s="1" t="str">
        <f ca="1">'Leg 1'!L4</f>
        <v>15 - 13</v>
      </c>
    </row>
    <row r="5" spans="1:5" ht="15.75" customHeight="1">
      <c r="A5" s="1">
        <v>1</v>
      </c>
      <c r="B5" s="1" t="str">
        <f ca="1">'Leg 1'!I5</f>
        <v>(25) JIMENEZ JULIANNA
UE / PHI</v>
      </c>
      <c r="C5" s="1" t="str">
        <f ca="1">'Leg 1'!J5</f>
        <v>(8) DINOY IVY CLAIRE
MP / PHI</v>
      </c>
      <c r="D5" s="1" t="str">
        <f ca="1">'Leg 1'!K5</f>
        <v>(8) DINOY IVY CLAIRE</v>
      </c>
      <c r="E5" s="1" t="str">
        <f ca="1">'Leg 1'!L5</f>
        <v>15 - 5</v>
      </c>
    </row>
    <row r="6" spans="1:5" ht="15.75" customHeight="1">
      <c r="A6" s="1">
        <v>1</v>
      </c>
      <c r="B6" s="1" t="str">
        <f ca="1">'Leg 1'!I6</f>
        <v>(5) VERGARA CYRRA
DLSU / PHI</v>
      </c>
      <c r="C6" s="1" t="str">
        <f ca="1">'Leg 1'!J6</f>
        <v>(28) FELICIANO SUMMER LUCINE
AF / PHI</v>
      </c>
      <c r="D6" s="1" t="str">
        <f ca="1">'Leg 1'!K6</f>
        <v>(5) VERGARA CYRRA</v>
      </c>
      <c r="E6" s="1" t="str">
        <f ca="1">'Leg 1'!L6</f>
        <v>15 - 8</v>
      </c>
    </row>
    <row r="7" spans="1:5" ht="15.75" customHeight="1">
      <c r="A7" s="1">
        <v>1</v>
      </c>
      <c r="B7" s="1" t="str">
        <f ca="1">'Leg 1'!I7</f>
        <v>(21) BELEN FRANCES CAMILLE
UP / PHI</v>
      </c>
      <c r="C7" s="1" t="str">
        <f ca="1">'Leg 1'!J7</f>
        <v>(12) MENDOZA JENNINA
UP / PHI</v>
      </c>
      <c r="D7" s="1" t="str">
        <f ca="1">'Leg 1'!K7</f>
        <v>(12) MENDOZA JENNINA</v>
      </c>
      <c r="E7" s="1" t="str">
        <f ca="1">'Leg 1'!L7</f>
        <v>15 - 2</v>
      </c>
    </row>
    <row r="8" spans="1:5" ht="15.75" customHeight="1">
      <c r="A8" s="1">
        <v>1</v>
      </c>
      <c r="B8" s="1" t="str">
        <f ca="1">'Leg 1'!I8</f>
        <v>(13) SALVADOR IVANA
CF / PHI</v>
      </c>
      <c r="C8" s="1" t="str">
        <f ca="1">'Leg 1'!J8</f>
        <v>(20) NORO NAMI
UP / PHI</v>
      </c>
      <c r="D8" s="1" t="str">
        <f ca="1">'Leg 1'!K8</f>
        <v>(13) NORO NAMI</v>
      </c>
      <c r="E8" s="1" t="str">
        <f ca="1">'Leg 1'!L8</f>
        <v>15 - 8</v>
      </c>
    </row>
    <row r="9" spans="1:5" ht="15.75" customHeight="1">
      <c r="A9" s="1">
        <v>1</v>
      </c>
      <c r="B9" s="1" t="str">
        <f ca="1">'Leg 1'!I9</f>
        <v>(29) RAFAEL GAY MARIE
RF / PHI</v>
      </c>
      <c r="C9" s="1" t="str">
        <f ca="1">'Leg 1'!J9</f>
        <v>(4) BALLESTEROS JULIANNA
UP / PHI</v>
      </c>
      <c r="D9" s="1" t="str">
        <f ca="1">'Leg 1'!K9</f>
        <v>(4) BALLESTEROS JULIANNA</v>
      </c>
      <c r="E9" s="1" t="str">
        <f ca="1">'Leg 1'!L9</f>
        <v>15 - 9</v>
      </c>
    </row>
    <row r="10" spans="1:5" ht="15.75" customHeight="1">
      <c r="A10" s="1">
        <v>1</v>
      </c>
      <c r="B10" s="1" t="str">
        <f ca="1">'Leg 1'!I10</f>
        <v>(3) CANLAS NINA DOMINIQUE
UE / PHI</v>
      </c>
      <c r="C10" s="1" t="str">
        <f ca="1">'Leg 1'!J10</f>
        <v>(30) UY JANA ANNIKA
CF / PHI</v>
      </c>
      <c r="D10" s="1" t="str">
        <f ca="1">'Leg 1'!K10</f>
        <v>(3) CANLAS NINA DOMINIQUE</v>
      </c>
      <c r="E10" s="1" t="str">
        <f ca="1">'Leg 1'!L10</f>
        <v>15 - 12</v>
      </c>
    </row>
    <row r="11" spans="1:5" ht="15.75" customHeight="1">
      <c r="A11" s="1">
        <v>1</v>
      </c>
      <c r="B11" s="1" t="str">
        <f ca="1">'Leg 1'!I11</f>
        <v>(19) RAGOT MIKAELA NICOLE
UE / PHI</v>
      </c>
      <c r="C11" s="1" t="str">
        <f ca="1">'Leg 1'!J11</f>
        <v>(14) GOMEZ JULIANA MA. BEATRICE
MP / PHI</v>
      </c>
      <c r="D11" s="1" t="str">
        <f ca="1">'Leg 1'!K11</f>
        <v>(14) GOMEZ JULIANA MA. BEATRICE</v>
      </c>
      <c r="E11" s="1" t="str">
        <f ca="1">'Leg 1'!L11</f>
        <v>15 - 7</v>
      </c>
    </row>
    <row r="12" spans="1:5" ht="15.75" customHeight="1">
      <c r="A12" s="1">
        <v>1</v>
      </c>
      <c r="B12" s="1" t="str">
        <f ca="1">'Leg 1'!I12</f>
        <v>(11) BUSTOS MICKYLE REIN
RF / PHI</v>
      </c>
      <c r="C12" s="1" t="str">
        <f ca="1">'Leg 1'!J12</f>
        <v>(22) EDNILAG KRUPS KAYA
DLSU / PHI</v>
      </c>
      <c r="D12" s="1" t="str">
        <f ca="1">'Leg 1'!K12</f>
        <v>(11) BUSTOS MICKYLE REIN</v>
      </c>
      <c r="E12" s="1" t="str">
        <f ca="1">'Leg 1'!L12</f>
        <v>15 - 11</v>
      </c>
    </row>
    <row r="13" spans="1:5" ht="15.75" customHeight="1">
      <c r="A13" s="1">
        <v>1</v>
      </c>
      <c r="B13" s="1" t="str">
        <f ca="1">'Leg 1'!I13</f>
        <v>(27) TORRE PAPINA MARGUERITE
AF / PHI</v>
      </c>
      <c r="C13" s="1" t="str">
        <f ca="1">'Leg 1'!J13</f>
        <v>(6) MATIAS ANDREA JENNELLE
UE / PHI</v>
      </c>
      <c r="D13" s="1" t="str">
        <f ca="1">'Leg 1'!K13</f>
        <v>(6) MATIAS ANDREA JENNELLE</v>
      </c>
      <c r="E13" s="1" t="str">
        <f ca="1">'Leg 1'!L13</f>
        <v>15 - 10</v>
      </c>
    </row>
    <row r="14" spans="1:5" ht="15.75" customHeight="1">
      <c r="A14" s="1">
        <v>1</v>
      </c>
      <c r="B14" s="1" t="str">
        <f ca="1">'Leg 1'!I14</f>
        <v>(7) HARRISON ASHLEY MAE MICHELLE
NTP / PHI</v>
      </c>
      <c r="C14" s="1" t="str">
        <f ca="1">'Leg 1'!J14</f>
        <v>(26) JUNIA ELEINA MARGUERITE
AF / PHI</v>
      </c>
      <c r="D14" s="1" t="str">
        <f ca="1">'Leg 1'!K14</f>
        <v>(7) HARRISON ASHLEY MAE MICHELLE</v>
      </c>
      <c r="E14" s="1" t="str">
        <f ca="1">'Leg 1'!L14</f>
        <v>15 - 8</v>
      </c>
    </row>
    <row r="15" spans="1:5" ht="15.75" customHeight="1">
      <c r="A15" s="1">
        <v>1</v>
      </c>
      <c r="B15" s="1" t="str">
        <f ca="1">'Leg 1'!I15</f>
        <v>(23) TAPALES ENDIRAJ MARGARET
UP / PHI</v>
      </c>
      <c r="C15" s="1" t="str">
        <f ca="1">'Leg 1'!J15</f>
        <v>(10) SCHOFIELD CYRYLLE ANNE
UE / PHI</v>
      </c>
      <c r="D15" s="1" t="str">
        <f ca="1">'Leg 1'!K15</f>
        <v>(10) TAPALES ENDIRAJ MARGARET</v>
      </c>
      <c r="E15" s="1" t="str">
        <f ca="1">'Leg 1'!L15</f>
        <v>15 - 8</v>
      </c>
    </row>
    <row r="16" spans="1:5" ht="15.75" customHeight="1">
      <c r="A16" s="1">
        <v>1</v>
      </c>
      <c r="B16" s="1" t="str">
        <f ca="1">'Leg 1'!I16</f>
        <v>(15) DEL ROSARIO SARINA KELLY
RF / PHI</v>
      </c>
      <c r="C16" s="1" t="str">
        <f ca="1">'Leg 1'!J16</f>
        <v>(18) DELOS SANTOS JAYMI
NTP / PHI</v>
      </c>
      <c r="D16" s="1" t="str">
        <f ca="1">'Leg 1'!K16</f>
        <v>(15) DELOS SANTOS JAYMI</v>
      </c>
      <c r="E16" s="1" t="str">
        <f ca="1">'Leg 1'!L16</f>
        <v>15 - 4</v>
      </c>
    </row>
    <row r="17" spans="1:5" ht="15.75" customHeight="1">
      <c r="A17" s="1">
        <v>1</v>
      </c>
      <c r="B17" s="1" t="str">
        <f ca="1">'Leg 1'!I17</f>
        <v>(31) RAFAEL RANA IMOGEN
ADMU / PHI</v>
      </c>
      <c r="C17" s="1" t="str">
        <f ca="1">'Leg 1'!J17</f>
        <v>(2) ABELLA HANNIEL
NTP / PHI</v>
      </c>
      <c r="D17" s="1" t="str">
        <f ca="1">'Leg 1'!K17</f>
        <v>(2) ABELLA HANNIEL</v>
      </c>
      <c r="E17" s="1" t="str">
        <f ca="1">'Leg 1'!L17</f>
        <v>15 - 5</v>
      </c>
    </row>
    <row r="18" spans="1:5" ht="15.75" customHeight="1">
      <c r="A18" s="1">
        <v>1</v>
      </c>
      <c r="B18" s="1" t="str">
        <f ca="1">'Leg 1'!I18</f>
        <v>(1) LARRAZABAL ALEXA</v>
      </c>
      <c r="C18" s="1" t="str">
        <f ca="1">'Leg 1'!J18</f>
        <v>(16) ONG JICKLE CLAIN</v>
      </c>
      <c r="D18" s="1" t="str">
        <f ca="1">'Leg 1'!K18</f>
        <v>(1) LARRAZABAL ALEXA</v>
      </c>
      <c r="E18" s="1" t="str">
        <f ca="1">'Leg 1'!L18</f>
        <v>15 - 9
12:17 PM</v>
      </c>
    </row>
    <row r="19" spans="1:5" ht="15.75" customHeight="1">
      <c r="A19" s="1">
        <v>1</v>
      </c>
      <c r="B19" s="1" t="str">
        <f ca="1">'Leg 1'!I19</f>
        <v>(9) BERNABE FRANCESCA BETTINA</v>
      </c>
      <c r="C19" s="1" t="str">
        <f ca="1">'Leg 1'!J19</f>
        <v>(8) DINOY IVY CLAIRE</v>
      </c>
      <c r="D19" s="1" t="str">
        <f ca="1">'Leg 1'!K19</f>
        <v>(8) DINOY IVY CLAIRE</v>
      </c>
      <c r="E19" s="1" t="str">
        <f ca="1">'Leg 1'!L19</f>
        <v>15 - 8
12:20 PM</v>
      </c>
    </row>
    <row r="20" spans="1:5" ht="15.75" customHeight="1">
      <c r="A20" s="1">
        <v>1</v>
      </c>
      <c r="B20" s="1" t="str">
        <f ca="1">'Leg 1'!I20</f>
        <v>(5) VERGARA CYRRA</v>
      </c>
      <c r="C20" s="1" t="str">
        <f ca="1">'Leg 1'!J20</f>
        <v>(12) MENDOZA JENNINA</v>
      </c>
      <c r="D20" s="1" t="str">
        <f ca="1">'Leg 1'!K20</f>
        <v>(5) MENDOZA JENNINA</v>
      </c>
      <c r="E20" s="1" t="str">
        <f ca="1">'Leg 1'!L20</f>
        <v>15 - 11
12:14 PM</v>
      </c>
    </row>
    <row r="21" spans="1:5" ht="15.75" customHeight="1">
      <c r="A21" s="1">
        <v>1</v>
      </c>
      <c r="B21" s="1" t="str">
        <f ca="1">'Leg 1'!I21</f>
        <v>(13) NORO NAMI</v>
      </c>
      <c r="C21" s="1" t="str">
        <f ca="1">'Leg 1'!J21</f>
        <v>(4) BALLESTEROS JULIANNA</v>
      </c>
      <c r="D21" s="1" t="str">
        <f ca="1">'Leg 1'!K21</f>
        <v>(4) BALLESTEROS JULIANNA</v>
      </c>
      <c r="E21" s="1" t="str">
        <f ca="1">'Leg 1'!L21</f>
        <v>15 - 13
12:22 PM</v>
      </c>
    </row>
    <row r="22" spans="1:5" ht="15.75" customHeight="1">
      <c r="A22" s="1">
        <v>1</v>
      </c>
      <c r="B22" s="1" t="str">
        <f ca="1">'Leg 1'!I22</f>
        <v>(3) CANLAS NINA DOMINIQUE</v>
      </c>
      <c r="C22" s="1" t="str">
        <f ca="1">'Leg 1'!J22</f>
        <v>(14) GOMEZ JULIANA MA. BEATRICE</v>
      </c>
      <c r="D22" s="1" t="str">
        <f ca="1">'Leg 1'!K22</f>
        <v>(3) GOMEZ JULIANA MA. BEATRICE</v>
      </c>
      <c r="E22" s="1" t="str">
        <f ca="1">'Leg 1'!L22</f>
        <v>15 - 14
12:32 PM</v>
      </c>
    </row>
    <row r="23" spans="1:5" ht="15.75" customHeight="1">
      <c r="A23" s="1">
        <v>1</v>
      </c>
      <c r="B23" s="1" t="str">
        <f ca="1">'Leg 1'!I23</f>
        <v>(11) BUSTOS MICKYLE REIN</v>
      </c>
      <c r="C23" s="1" t="str">
        <f ca="1">'Leg 1'!J23</f>
        <v>(6) MATIAS ANDREA JENNELLE</v>
      </c>
      <c r="D23" s="1" t="str">
        <f ca="1">'Leg 1'!K23</f>
        <v>(6) MATIAS ANDREA JENNELLE</v>
      </c>
      <c r="E23" s="1" t="str">
        <f ca="1">'Leg 1'!L23</f>
        <v>15 - 10
12:33 PM</v>
      </c>
    </row>
    <row r="24" spans="1:5" ht="15.75" customHeight="1">
      <c r="A24" s="1">
        <v>1</v>
      </c>
      <c r="B24" s="1" t="str">
        <f ca="1">'Leg 1'!I24</f>
        <v>(7) HARRISON ASHLEY MAE MICHELLE</v>
      </c>
      <c r="C24" s="1" t="str">
        <f ca="1">'Leg 1'!J24</f>
        <v>(10) TAPALES ENDIRAJ MARGARET</v>
      </c>
      <c r="D24" s="1" t="str">
        <f ca="1">'Leg 1'!K24</f>
        <v>(7) HARRISON ASHLEY MAE MICHELLE</v>
      </c>
      <c r="E24" s="1" t="str">
        <f ca="1">'Leg 1'!L24</f>
        <v>14 - 11
12:36 PM</v>
      </c>
    </row>
    <row r="25" spans="1:5" ht="15.75" customHeight="1">
      <c r="A25" s="1">
        <v>1</v>
      </c>
      <c r="B25" s="1" t="str">
        <f ca="1">'Leg 1'!I25</f>
        <v>(15) DELOS SANTOS JAYMI</v>
      </c>
      <c r="C25" s="1" t="str">
        <f ca="1">'Leg 1'!J25</f>
        <v>(2) ABELLA HANNIEL</v>
      </c>
      <c r="D25" s="1" t="str">
        <f ca="1">'Leg 1'!K25</f>
        <v>(2) DELOS SANTOS JAYMI</v>
      </c>
      <c r="E25" s="1" t="str">
        <f ca="1">'Leg 1'!L25</f>
        <v>15 - 10
12:32 PM</v>
      </c>
    </row>
    <row r="26" spans="1:5" ht="15.75" customHeight="1">
      <c r="A26" s="1">
        <v>1</v>
      </c>
      <c r="B26" s="1" t="str">
        <f ca="1">'Leg 1'!I26</f>
        <v>(1) LARRAZABAL ALEXA</v>
      </c>
      <c r="C26" s="1" t="str">
        <f ca="1">'Leg 1'!J26</f>
        <v>(8) DINOY IVY CLAIRE</v>
      </c>
      <c r="D26" s="1" t="str">
        <f ca="1">'Leg 1'!K26</f>
        <v>(1) LARRAZABAL ALEXA</v>
      </c>
      <c r="E26" s="1" t="str">
        <f ca="1">'Leg 1'!L26</f>
        <v>15 - 12
12:56 PM</v>
      </c>
    </row>
    <row r="27" spans="1:5" ht="15.75" customHeight="1">
      <c r="A27" s="1">
        <v>1</v>
      </c>
      <c r="B27" s="1" t="str">
        <f ca="1">'Leg 1'!I27</f>
        <v>(5) MENDOZA JENNINA</v>
      </c>
      <c r="C27" s="1" t="str">
        <f ca="1">'Leg 1'!J27</f>
        <v>(4) BALLESTEROS JULIANNA</v>
      </c>
      <c r="D27" s="1" t="str">
        <f ca="1">'Leg 1'!K27</f>
        <v>(4) MENDOZA JENNINA</v>
      </c>
      <c r="E27" s="1" t="str">
        <f ca="1">'Leg 1'!L27</f>
        <v>15 - 9
12:57 PM</v>
      </c>
    </row>
    <row r="28" spans="1:5" ht="15.75" customHeight="1">
      <c r="A28" s="1">
        <v>1</v>
      </c>
      <c r="B28" s="1" t="str">
        <f ca="1">'Leg 1'!I28</f>
        <v>(3) GOMEZ JULIANA MA. BEATRICE</v>
      </c>
      <c r="C28" s="1" t="str">
        <f ca="1">'Leg 1'!J28</f>
        <v>(6) MATIAS ANDREA JENNELLE</v>
      </c>
      <c r="D28" s="1" t="str">
        <f ca="1">'Leg 1'!K28</f>
        <v>(3) GOMEZ JULIANA MA. BEATRICE</v>
      </c>
      <c r="E28" s="1" t="str">
        <f ca="1">'Leg 1'!L28</f>
        <v>15 - 11
1:05 PM</v>
      </c>
    </row>
    <row r="29" spans="1:5" ht="15.75" customHeight="1">
      <c r="A29" s="1">
        <v>1</v>
      </c>
      <c r="B29" s="1" t="str">
        <f ca="1">'Leg 1'!I29</f>
        <v>(7) HARRISON ASHLEY MAE MICHELLE</v>
      </c>
      <c r="C29" s="1" t="str">
        <f ca="1">'Leg 1'!J29</f>
        <v>(2) DELOS SANTOS JAYMI</v>
      </c>
      <c r="D29" s="1" t="str">
        <f ca="1">'Leg 1'!K29</f>
        <v>(2) HARRISON ASHLEY MAE MICHELLE</v>
      </c>
      <c r="E29" s="1" t="str">
        <f ca="1">'Leg 1'!L29</f>
        <v>15 - 11
1:04 PM</v>
      </c>
    </row>
    <row r="30" spans="1:5" ht="15.75" customHeight="1">
      <c r="A30" s="1">
        <v>1</v>
      </c>
      <c r="B30" s="1" t="str">
        <f ca="1">'Leg 1'!I30</f>
        <v>(1) LARRAZABAL ALEXA</v>
      </c>
      <c r="C30" s="1" t="str">
        <f ca="1">'Leg 1'!J30</f>
        <v>(4) MENDOZA JENNINA</v>
      </c>
      <c r="D30" s="1" t="str">
        <f ca="1">'Leg 1'!K30</f>
        <v>(1) LARRAZABAL ALEXA</v>
      </c>
      <c r="E30" s="1" t="str">
        <f ca="1">'Leg 1'!L30</f>
        <v>15 - 12
1:29 PM</v>
      </c>
    </row>
    <row r="31" spans="1:5" ht="15.75" customHeight="1">
      <c r="A31" s="1">
        <v>1</v>
      </c>
      <c r="B31" s="1" t="str">
        <f ca="1">'Leg 1'!I31</f>
        <v>(3) GOMEZ JULIANA MA. BEATRICE</v>
      </c>
      <c r="C31" s="1" t="str">
        <f ca="1">'Leg 1'!J31</f>
        <v>(2) HARRISON ASHLEY MAE MICHELLE</v>
      </c>
      <c r="D31" s="1" t="str">
        <f ca="1">'Leg 1'!K31</f>
        <v>(2) HARRISON ASHLEY MAE MICHELLE</v>
      </c>
      <c r="E31" s="1" t="str">
        <f ca="1">'Leg 1'!L31</f>
        <v>15 - 13
1:28 PM</v>
      </c>
    </row>
    <row r="32" spans="1:5" ht="15.75" customHeight="1">
      <c r="A32" s="1">
        <v>1</v>
      </c>
      <c r="B32" s="1" t="str">
        <f ca="1">'Leg 1'!I32</f>
        <v>(1) LARRAZABAL ALEXA</v>
      </c>
      <c r="C32" s="1" t="str">
        <f ca="1">'Leg 1'!J32</f>
        <v>(2) HARRISON ASHLEY MAE MICHELLE</v>
      </c>
      <c r="D32" s="1" t="str">
        <f ca="1">'Leg 1'!K32</f>
        <v>(1) LARRAZABAL ALEXA</v>
      </c>
      <c r="E32" s="1" t="str">
        <f ca="1">'Leg 1'!L32</f>
        <v>15 - 13
1:47 PM</v>
      </c>
    </row>
    <row r="33" spans="1:5" ht="15.75" customHeight="1">
      <c r="A33" s="1">
        <v>2</v>
      </c>
      <c r="B33" s="1" t="str">
        <f ca="1">'Leg 2'!I2</f>
        <v>(1) SEVILLA JULIANA SHANE
MP / PHI</v>
      </c>
      <c r="C33" s="1" t="str">
        <f ca="1">'Leg 2'!J2</f>
        <v>(64) - BYE -</v>
      </c>
      <c r="D33" s="1" t="str">
        <f ca="1">'Leg 2'!K2</f>
        <v>(1) SEVILLA JULIANA SHANE</v>
      </c>
      <c r="E33" s="1">
        <f ca="1">'Leg 2'!L2</f>
        <v>0</v>
      </c>
    </row>
    <row r="34" spans="1:5" ht="15.75" customHeight="1">
      <c r="A34" s="1">
        <v>2</v>
      </c>
      <c r="B34" s="1" t="str">
        <f ca="1">'Leg 2'!I3</f>
        <v>(33) SIA SARAH-INGRID AURELIA
RF / PHI</v>
      </c>
      <c r="C34" s="1" t="str">
        <f ca="1">'Leg 2'!J3</f>
        <v>(32) CAPUNO DAHLIA MAE
USTFT / PHI</v>
      </c>
      <c r="D34" s="1" t="str">
        <f ca="1">'Leg 2'!K3</f>
        <v>(32) CAPUNO DAHLIA MAE</v>
      </c>
      <c r="E34" s="1" t="str">
        <f ca="1">'Leg 2'!L3</f>
        <v>15 - 14</v>
      </c>
    </row>
    <row r="35" spans="1:5" ht="15.75" customHeight="1">
      <c r="A35" s="1">
        <v>2</v>
      </c>
      <c r="B35" s="1" t="str">
        <f ca="1">'Leg 2'!I4</f>
        <v>(17) DELOS SANTOS JAYMI
NTP / PHI</v>
      </c>
      <c r="C35" s="1" t="str">
        <f ca="1">'Leg 2'!J4</f>
        <v>(48) - BYE -</v>
      </c>
      <c r="D35" s="1" t="str">
        <f ca="1">'Leg 2'!K4</f>
        <v>(17) DELOS SANTOS JAYMI</v>
      </c>
      <c r="E35" s="1">
        <f ca="1">'Leg 2'!L4</f>
        <v>0</v>
      </c>
    </row>
    <row r="36" spans="1:5" ht="15.75" customHeight="1">
      <c r="A36" s="1">
        <v>2</v>
      </c>
      <c r="B36" s="1" t="str">
        <f ca="1">'Leg 2'!I5</f>
        <v>(49) - BYE -</v>
      </c>
      <c r="C36" s="1" t="str">
        <f ca="1">'Leg 2'!J5</f>
        <v>(16) MENDOZA JENNINA
UP / PHI</v>
      </c>
      <c r="D36" s="1" t="str">
        <f ca="1">'Leg 2'!K5</f>
        <v>(16) MENDOZA JENNINA</v>
      </c>
      <c r="E36" s="1">
        <f ca="1">'Leg 2'!L5</f>
        <v>0</v>
      </c>
    </row>
    <row r="37" spans="1:5" ht="15.75" customHeight="1">
      <c r="A37" s="1">
        <v>2</v>
      </c>
      <c r="B37" s="1" t="str">
        <f ca="1">'Leg 2'!I6</f>
        <v>(9) EDNILAG KRUPS KAYA
DLSU / PHI</v>
      </c>
      <c r="C37" s="1" t="str">
        <f ca="1">'Leg 2'!J6</f>
        <v>(56) - BYE -</v>
      </c>
      <c r="D37" s="1" t="str">
        <f ca="1">'Leg 2'!K6</f>
        <v>(9) EDNILAG KRUPS KAYA</v>
      </c>
      <c r="E37" s="1">
        <f ca="1">'Leg 2'!L6</f>
        <v>0</v>
      </c>
    </row>
    <row r="38" spans="1:5" ht="15.75" customHeight="1">
      <c r="A38" s="1">
        <v>2</v>
      </c>
      <c r="B38" s="1" t="str">
        <f ca="1">'Leg 2'!I7</f>
        <v>(41) - BYE -</v>
      </c>
      <c r="C38" s="1" t="str">
        <f ca="1">'Leg 2'!J7</f>
        <v>(24) SANDOVAL JUSTA ANDREA
CF / PHI</v>
      </c>
      <c r="D38" s="1" t="str">
        <f ca="1">'Leg 2'!K7</f>
        <v>(24) SANDOVAL JUSTA ANDREA</v>
      </c>
      <c r="E38" s="1">
        <f ca="1">'Leg 2'!L7</f>
        <v>0</v>
      </c>
    </row>
    <row r="39" spans="1:5" ht="15.75" customHeight="1">
      <c r="A39" s="1">
        <v>2</v>
      </c>
      <c r="B39" s="1" t="str">
        <f ca="1">'Leg 2'!I8</f>
        <v>(25) SALVADOR IVANA
CF / PHI</v>
      </c>
      <c r="C39" s="1" t="str">
        <f ca="1">'Leg 2'!J8</f>
        <v>(40) - BYE -</v>
      </c>
      <c r="D39" s="1" t="str">
        <f ca="1">'Leg 2'!K8</f>
        <v>(25) SALVADOR IVANA</v>
      </c>
      <c r="E39" s="1">
        <f ca="1">'Leg 2'!L8</f>
        <v>0</v>
      </c>
    </row>
    <row r="40" spans="1:5" ht="15.75" customHeight="1">
      <c r="A40" s="1">
        <v>2</v>
      </c>
      <c r="B40" s="1" t="str">
        <f ca="1">'Leg 2'!I9</f>
        <v>(57) - BYE -</v>
      </c>
      <c r="C40" s="1" t="str">
        <f ca="1">'Leg 2'!J9</f>
        <v>(8) TAPALES ENDIRAJ MARGARET
UP / PHI</v>
      </c>
      <c r="D40" s="1" t="str">
        <f ca="1">'Leg 2'!K9</f>
        <v>(8) TAPALES ENDIRAJ MARGARET</v>
      </c>
      <c r="E40" s="1">
        <f ca="1">'Leg 2'!L9</f>
        <v>0</v>
      </c>
    </row>
    <row r="41" spans="1:5" ht="15.75" customHeight="1">
      <c r="A41" s="1">
        <v>2</v>
      </c>
      <c r="B41" s="1" t="str">
        <f ca="1">'Leg 2'!I10</f>
        <v>(5) MATIAS ANDREA JENNELLE
UE / PHI</v>
      </c>
      <c r="C41" s="1" t="str">
        <f ca="1">'Leg 2'!J10</f>
        <v>(60) - BYE -</v>
      </c>
      <c r="D41" s="1" t="str">
        <f ca="1">'Leg 2'!K10</f>
        <v>(5) MATIAS ANDREA JENNELLE</v>
      </c>
      <c r="E41" s="1">
        <f ca="1">'Leg 2'!L10</f>
        <v>0</v>
      </c>
    </row>
    <row r="42" spans="1:5" ht="15.75" customHeight="1">
      <c r="A42" s="1">
        <v>2</v>
      </c>
      <c r="B42" s="1" t="str">
        <f ca="1">'Leg 2'!I11</f>
        <v>(37) - BYE -</v>
      </c>
      <c r="C42" s="1" t="str">
        <f ca="1">'Leg 2'!J11</f>
        <v>(28) TORRE PAPINA MARGUERITE
AF / PHI</v>
      </c>
      <c r="D42" s="1" t="str">
        <f ca="1">'Leg 2'!K11</f>
        <v>(28) TORRE PAPINA MARGUERITE</v>
      </c>
      <c r="E42" s="1">
        <f ca="1">'Leg 2'!L11</f>
        <v>0</v>
      </c>
    </row>
    <row r="43" spans="1:5" ht="15.75" customHeight="1">
      <c r="A43" s="1">
        <v>2</v>
      </c>
      <c r="B43" s="1" t="str">
        <f ca="1">'Leg 2'!I12</f>
        <v>(21) DELA CRUZ CHIARA MICHAELA
UPFC / PHI</v>
      </c>
      <c r="C43" s="1" t="str">
        <f ca="1">'Leg 2'!J12</f>
        <v>(44) - BYE -</v>
      </c>
      <c r="D43" s="1" t="str">
        <f ca="1">'Leg 2'!K12</f>
        <v>(21) DELA CRUZ CHIARA MICHAELA</v>
      </c>
      <c r="E43" s="1">
        <f ca="1">'Leg 2'!L12</f>
        <v>0</v>
      </c>
    </row>
    <row r="44" spans="1:5" ht="15.75" customHeight="1">
      <c r="A44" s="1">
        <v>2</v>
      </c>
      <c r="B44" s="1" t="str">
        <f ca="1">'Leg 2'!I13</f>
        <v>(53) - BYE -</v>
      </c>
      <c r="C44" s="1" t="str">
        <f ca="1">'Leg 2'!J13</f>
        <v>(12) SCHOFIELD CYRYLLE ANNE
UE / PHI</v>
      </c>
      <c r="D44" s="1" t="str">
        <f ca="1">'Leg 2'!K13</f>
        <v>(12) SCHOFIELD CYRYLLE ANNE</v>
      </c>
      <c r="E44" s="1">
        <f ca="1">'Leg 2'!L13</f>
        <v>0</v>
      </c>
    </row>
    <row r="45" spans="1:5" ht="15.75" customHeight="1">
      <c r="A45" s="1">
        <v>2</v>
      </c>
      <c r="B45" s="1" t="str">
        <f ca="1">'Leg 2'!I14</f>
        <v>(13) TRINIDAD SOLANA MAYUMI
EZKRIMA / PHI</v>
      </c>
      <c r="C45" s="1" t="str">
        <f ca="1">'Leg 2'!J14</f>
        <v>(52) - BYE -</v>
      </c>
      <c r="D45" s="1" t="str">
        <f ca="1">'Leg 2'!K14</f>
        <v>(13) TRINIDAD SOLANA MAYUMI</v>
      </c>
      <c r="E45" s="1">
        <f ca="1">'Leg 2'!L14</f>
        <v>0</v>
      </c>
    </row>
    <row r="46" spans="1:5" ht="15.75" customHeight="1">
      <c r="A46" s="1">
        <v>2</v>
      </c>
      <c r="B46" s="1" t="str">
        <f ca="1">'Leg 2'!I15</f>
        <v>(45) - BYE -</v>
      </c>
      <c r="C46" s="1" t="str">
        <f ca="1">'Leg 2'!J15</f>
        <v>(20) RAGOT MIKAELA NICOLE
UE / PHI</v>
      </c>
      <c r="D46" s="1" t="str">
        <f ca="1">'Leg 2'!K15</f>
        <v>(20) RAGOT MIKAELA NICOLE</v>
      </c>
      <c r="E46" s="1">
        <f ca="1">'Leg 2'!L15</f>
        <v>0</v>
      </c>
    </row>
    <row r="47" spans="1:5" ht="15.75" customHeight="1">
      <c r="A47" s="1">
        <v>2</v>
      </c>
      <c r="B47" s="1" t="str">
        <f ca="1">'Leg 2'!I16</f>
        <v>(29) JUNIA ELEINA MARGUERITE
AF / PHI</v>
      </c>
      <c r="C47" s="1" t="str">
        <f ca="1">'Leg 2'!J16</f>
        <v>(36) PALO AJ DREYFUS
ADMU / PHI</v>
      </c>
      <c r="D47" s="1" t="str">
        <f ca="1">'Leg 2'!K16</f>
        <v>(29) JUNIA ELEINA MARGUERITE</v>
      </c>
      <c r="E47" s="1" t="str">
        <f ca="1">'Leg 2'!L16</f>
        <v>15 - 13</v>
      </c>
    </row>
    <row r="48" spans="1:5" ht="15.75" customHeight="1">
      <c r="A48" s="1">
        <v>2</v>
      </c>
      <c r="B48" s="1" t="str">
        <f ca="1">'Leg 2'!I17</f>
        <v>(61) - BYE -</v>
      </c>
      <c r="C48" s="1" t="str">
        <f ca="1">'Leg 2'!J17</f>
        <v>(4) GOMEZ JULIANA MA. BEATRICE
MP / PHI</v>
      </c>
      <c r="D48" s="1" t="str">
        <f ca="1">'Leg 2'!K17</f>
        <v>(4) GOMEZ JULIANA MA. BEATRICE</v>
      </c>
      <c r="E48" s="1">
        <f ca="1">'Leg 2'!L17</f>
        <v>0</v>
      </c>
    </row>
    <row r="49" spans="1:5" ht="15.75" customHeight="1">
      <c r="A49" s="1">
        <v>2</v>
      </c>
      <c r="B49" s="1" t="str">
        <f ca="1">'Leg 2'!I18</f>
        <v>(3) ABELLA HANNIEL
NTP / PHI</v>
      </c>
      <c r="C49" s="1" t="str">
        <f ca="1">'Leg 2'!J18</f>
        <v>(62) - BYE -</v>
      </c>
      <c r="D49" s="1" t="str">
        <f ca="1">'Leg 2'!K18</f>
        <v>(3) ABELLA HANNIEL</v>
      </c>
      <c r="E49" s="1">
        <f ca="1">'Leg 2'!L18</f>
        <v>0</v>
      </c>
    </row>
    <row r="50" spans="1:5" ht="15.75" customHeight="1">
      <c r="A50" s="1">
        <v>2</v>
      </c>
      <c r="B50" s="1" t="str">
        <f ca="1">'Leg 2'!I19</f>
        <v>(35) FELICIANO SUMMER LUCINE
AF / PHI</v>
      </c>
      <c r="C50" s="1" t="str">
        <f ca="1">'Leg 2'!J19</f>
        <v>(30) GEPUELA CATHERINE THERESE
UP / PHI</v>
      </c>
      <c r="D50" s="1" t="str">
        <f ca="1">'Leg 2'!K19</f>
        <v>(30) GEPUELA CATHERINE THERESE</v>
      </c>
      <c r="E50" s="1" t="str">
        <f ca="1">'Leg 2'!L19</f>
        <v>11 - 10</v>
      </c>
    </row>
    <row r="51" spans="1:5" ht="15.75" customHeight="1">
      <c r="A51" s="1">
        <v>2</v>
      </c>
      <c r="B51" s="1" t="str">
        <f ca="1">'Leg 2'!I20</f>
        <v>(19) FLORES MARIEL ELIANNE
UP / PHI</v>
      </c>
      <c r="C51" s="1" t="str">
        <f ca="1">'Leg 2'!J20</f>
        <v>(46) - BYE -</v>
      </c>
      <c r="D51" s="1" t="str">
        <f ca="1">'Leg 2'!K20</f>
        <v>(19) FLORES MARIEL ELIANNE</v>
      </c>
      <c r="E51" s="1">
        <f ca="1">'Leg 2'!L20</f>
        <v>0</v>
      </c>
    </row>
    <row r="52" spans="1:5" ht="15.75" customHeight="1">
      <c r="A52" s="1">
        <v>2</v>
      </c>
      <c r="B52" s="1" t="str">
        <f ca="1">'Leg 2'!I21</f>
        <v>(51) - BYE -</v>
      </c>
      <c r="C52" s="1" t="str">
        <f ca="1">'Leg 2'!J21</f>
        <v>(14) VILLAPANDO JHOLAN
DLSU / PHI</v>
      </c>
      <c r="D52" s="1" t="str">
        <f ca="1">'Leg 2'!K21</f>
        <v>(14) VILLAPANDO JHOLAN</v>
      </c>
      <c r="E52" s="1">
        <f ca="1">'Leg 2'!L21</f>
        <v>0</v>
      </c>
    </row>
    <row r="53" spans="1:5" ht="15.75" customHeight="1">
      <c r="A53" s="1">
        <v>2</v>
      </c>
      <c r="B53" s="1" t="str">
        <f ca="1">'Leg 2'!I22</f>
        <v>(11) DINOY IVY CLAIRE
MP / PHI</v>
      </c>
      <c r="C53" s="1" t="str">
        <f ca="1">'Leg 2'!J22</f>
        <v>(54) - BYE -</v>
      </c>
      <c r="D53" s="1" t="str">
        <f ca="1">'Leg 2'!K22</f>
        <v>(11) DINOY IVY CLAIRE</v>
      </c>
      <c r="E53" s="1">
        <f ca="1">'Leg 2'!L22</f>
        <v>0</v>
      </c>
    </row>
    <row r="54" spans="1:5" ht="15.75" customHeight="1">
      <c r="A54" s="1">
        <v>2</v>
      </c>
      <c r="B54" s="1" t="str">
        <f ca="1">'Leg 2'!I23</f>
        <v>(43) - BYE -</v>
      </c>
      <c r="C54" s="1" t="str">
        <f ca="1">'Leg 2'!J23</f>
        <v>(22) NORO NAMI
UP / PHI</v>
      </c>
      <c r="D54" s="1" t="str">
        <f ca="1">'Leg 2'!K23</f>
        <v>(22) NORO NAMI</v>
      </c>
      <c r="E54" s="1">
        <f ca="1">'Leg 2'!L23</f>
        <v>0</v>
      </c>
    </row>
    <row r="55" spans="1:5" ht="15.75" customHeight="1">
      <c r="A55" s="1">
        <v>2</v>
      </c>
      <c r="B55" s="1" t="str">
        <f ca="1">'Leg 2'!I24</f>
        <v>(27) MANAOIS IRISH
UE / PHI</v>
      </c>
      <c r="C55" s="1" t="str">
        <f ca="1">'Leg 2'!J24</f>
        <v>(38) - BYE -</v>
      </c>
      <c r="D55" s="1" t="str">
        <f ca="1">'Leg 2'!K24</f>
        <v>(27) MANAOIS IRISH</v>
      </c>
      <c r="E55" s="1">
        <f ca="1">'Leg 2'!L24</f>
        <v>0</v>
      </c>
    </row>
    <row r="56" spans="1:5" ht="15.75" customHeight="1">
      <c r="A56" s="1">
        <v>2</v>
      </c>
      <c r="B56" s="1" t="str">
        <f ca="1">'Leg 2'!I25</f>
        <v>(59) - BYE -</v>
      </c>
      <c r="C56" s="1" t="str">
        <f ca="1">'Leg 2'!J25</f>
        <v>(6) HARRISON ASHLEY MAE MICHELLE
NTP / PHI</v>
      </c>
      <c r="D56" s="1" t="str">
        <f ca="1">'Leg 2'!K25</f>
        <v>(6) HARRISON ASHLEY MAE MICHELLE</v>
      </c>
      <c r="E56" s="1">
        <f ca="1">'Leg 2'!L25</f>
        <v>0</v>
      </c>
    </row>
    <row r="57" spans="1:5" ht="15.75" customHeight="1">
      <c r="A57" s="1">
        <v>2</v>
      </c>
      <c r="B57" s="1" t="str">
        <f ca="1">'Leg 2'!I26</f>
        <v>(7) LARRAZABAL ALEXA
NTP / PHI</v>
      </c>
      <c r="C57" s="1" t="str">
        <f ca="1">'Leg 2'!J26</f>
        <v>(58) - BYE -</v>
      </c>
      <c r="D57" s="1" t="str">
        <f ca="1">'Leg 2'!K26</f>
        <v>(7) LARRAZABAL ALEXA</v>
      </c>
      <c r="E57" s="1">
        <f ca="1">'Leg 2'!L26</f>
        <v>0</v>
      </c>
    </row>
    <row r="58" spans="1:5" ht="15.75" customHeight="1">
      <c r="A58" s="1">
        <v>2</v>
      </c>
      <c r="B58" s="1" t="str">
        <f ca="1">'Leg 2'!I27</f>
        <v>(39) - BYE -</v>
      </c>
      <c r="C58" s="1" t="str">
        <f ca="1">'Leg 2'!J27</f>
        <v>(26) SYKAT ROBYN NOELLE
RF / PHI</v>
      </c>
      <c r="D58" s="1" t="str">
        <f ca="1">'Leg 2'!K27</f>
        <v>(26) SYKAT ROBYN NOELLE</v>
      </c>
      <c r="E58" s="1">
        <f ca="1">'Leg 2'!L27</f>
        <v>0</v>
      </c>
    </row>
    <row r="59" spans="1:5" ht="15.75" customHeight="1">
      <c r="A59" s="1">
        <v>2</v>
      </c>
      <c r="B59" s="1" t="str">
        <f ca="1">'Leg 2'!I28</f>
        <v>(23) MARTINEZ TASHA ISABELLA
HCFC / PHI</v>
      </c>
      <c r="C59" s="1" t="str">
        <f ca="1">'Leg 2'!J28</f>
        <v>(42) - BYE -</v>
      </c>
      <c r="D59" s="1" t="str">
        <f ca="1">'Leg 2'!K28</f>
        <v>(23) MARTINEZ TASHA ISABELLA</v>
      </c>
      <c r="E59" s="1">
        <f ca="1">'Leg 2'!L28</f>
        <v>0</v>
      </c>
    </row>
    <row r="60" spans="1:5" ht="15.75" customHeight="1">
      <c r="A60" s="1">
        <v>2</v>
      </c>
      <c r="B60" s="1" t="str">
        <f ca="1">'Leg 2'!I29</f>
        <v>(55) - BYE -</v>
      </c>
      <c r="C60" s="1" t="str">
        <f ca="1">'Leg 2'!J29</f>
        <v>(10) BUSTOS MICKYLE REIN
RF / PHI</v>
      </c>
      <c r="D60" s="1" t="str">
        <f ca="1">'Leg 2'!K29</f>
        <v>(10) BUSTOS MICKYLE REIN</v>
      </c>
      <c r="E60" s="1">
        <f ca="1">'Leg 2'!L29</f>
        <v>0</v>
      </c>
    </row>
    <row r="61" spans="1:5" ht="15.75" customHeight="1">
      <c r="A61" s="1">
        <v>2</v>
      </c>
      <c r="B61" s="1" t="str">
        <f ca="1">'Leg 2'!I30</f>
        <v>(15) ONG JICKLE CLAIN
CF / PHI</v>
      </c>
      <c r="C61" s="1" t="str">
        <f ca="1">'Leg 2'!J30</f>
        <v>(50) - BYE -</v>
      </c>
      <c r="D61" s="1" t="str">
        <f ca="1">'Leg 2'!K30</f>
        <v>(15) ONG JICKLE CLAIN</v>
      </c>
      <c r="E61" s="1">
        <f ca="1">'Leg 2'!L30</f>
        <v>0</v>
      </c>
    </row>
    <row r="62" spans="1:5" ht="15.75" customHeight="1">
      <c r="A62" s="1">
        <v>2</v>
      </c>
      <c r="B62" s="1" t="str">
        <f ca="1">'Leg 2'!I31</f>
        <v>(47) - BYE -</v>
      </c>
      <c r="C62" s="1" t="str">
        <f ca="1">'Leg 2'!J31</f>
        <v>(18) VERGARA CYRRA
DLSU / PHI</v>
      </c>
      <c r="D62" s="1" t="str">
        <f ca="1">'Leg 2'!K31</f>
        <v>(18) VERGARA CYRRA</v>
      </c>
      <c r="E62" s="1">
        <f ca="1">'Leg 2'!L31</f>
        <v>0</v>
      </c>
    </row>
    <row r="63" spans="1:5" ht="15.75" customHeight="1">
      <c r="A63" s="1">
        <v>2</v>
      </c>
      <c r="B63" s="1" t="str">
        <f ca="1">'Leg 2'!I32</f>
        <v>(31) BUENO MARIA KRISTINA ANGELA
CF / PHI</v>
      </c>
      <c r="C63" s="1" t="str">
        <f ca="1">'Leg 2'!J32</f>
        <v>(34) LOPEZ ALTHEA SOPHIA
USTFT / PHI</v>
      </c>
      <c r="D63" s="1" t="str">
        <f ca="1">'Leg 2'!K32</f>
        <v>(31) BUENO MARIA KRISTINA ANGELA</v>
      </c>
      <c r="E63" s="1" t="str">
        <f ca="1">'Leg 2'!L32</f>
        <v>15 - 12</v>
      </c>
    </row>
    <row r="64" spans="1:5" ht="13">
      <c r="A64" s="1">
        <v>2</v>
      </c>
      <c r="B64" s="1" t="str">
        <f ca="1">'Leg 2'!I33</f>
        <v>(63) - BYE -</v>
      </c>
      <c r="C64" s="1" t="str">
        <f ca="1">'Leg 2'!J33</f>
        <v>(2) CANLAS NINA DOMINIQUE
UE / PHI</v>
      </c>
      <c r="D64" s="1" t="str">
        <f ca="1">'Leg 2'!K33</f>
        <v>(2) CANLAS NINA DOMINIQUE</v>
      </c>
      <c r="E64" s="1">
        <f ca="1">'Leg 2'!L33</f>
        <v>0</v>
      </c>
    </row>
    <row r="65" spans="1:5" ht="13">
      <c r="A65" s="1">
        <v>2</v>
      </c>
      <c r="B65" s="1" t="str">
        <f ca="1">'Leg 2'!I34</f>
        <v>(1) SEVILLA JULIANA SHANE</v>
      </c>
      <c r="C65" s="1" t="str">
        <f ca="1">'Leg 2'!J34</f>
        <v>(32) CAPUNO DAHLIA MAE</v>
      </c>
      <c r="D65" s="1" t="str">
        <f ca="1">'Leg 2'!K34</f>
        <v>(1) SEVILLA JULIANA SHANE</v>
      </c>
      <c r="E65" s="1" t="str">
        <f ca="1">'Leg 2'!L34</f>
        <v>13 - 7
12:17 PM</v>
      </c>
    </row>
    <row r="66" spans="1:5" ht="13">
      <c r="A66" s="1">
        <v>2</v>
      </c>
      <c r="B66" s="1" t="str">
        <f ca="1">'Leg 2'!I35</f>
        <v>(17) DELOS SANTOS JAYMI</v>
      </c>
      <c r="C66" s="1" t="str">
        <f ca="1">'Leg 2'!J35</f>
        <v>(16) MENDOZA JENNINA</v>
      </c>
      <c r="D66" s="1" t="str">
        <f ca="1">'Leg 2'!K35</f>
        <v>(16) DELOS SANTOS JAYMI</v>
      </c>
      <c r="E66" s="1" t="str">
        <f ca="1">'Leg 2'!L35</f>
        <v>15 - 10</v>
      </c>
    </row>
    <row r="67" spans="1:5" ht="13">
      <c r="A67" s="1">
        <v>2</v>
      </c>
      <c r="B67" s="1" t="str">
        <f ca="1">'Leg 2'!I36</f>
        <v>(9) EDNILAG KRUPS KAYA</v>
      </c>
      <c r="C67" s="1" t="str">
        <f ca="1">'Leg 2'!J36</f>
        <v>(24) SANDOVAL JUSTA ANDREA</v>
      </c>
      <c r="D67" s="1" t="str">
        <f ca="1">'Leg 2'!K36</f>
        <v>(9) EDNILAG KRUPS KAYA</v>
      </c>
      <c r="E67" s="1" t="str">
        <f ca="1">'Leg 2'!L36</f>
        <v>15 - 11</v>
      </c>
    </row>
    <row r="68" spans="1:5" ht="13">
      <c r="A68" s="1">
        <v>2</v>
      </c>
      <c r="B68" s="1" t="str">
        <f ca="1">'Leg 2'!I37</f>
        <v>(25) SALVADOR IVANA</v>
      </c>
      <c r="C68" s="1" t="str">
        <f ca="1">'Leg 2'!J37</f>
        <v>(8) TAPALES ENDIRAJ MARGARET</v>
      </c>
      <c r="D68" s="1" t="str">
        <f ca="1">'Leg 2'!K37</f>
        <v>(8) SALVADOR IVANA</v>
      </c>
      <c r="E68" s="1" t="str">
        <f ca="1">'Leg 2'!L37</f>
        <v>12 - 11</v>
      </c>
    </row>
    <row r="69" spans="1:5" ht="13">
      <c r="A69" s="1">
        <v>2</v>
      </c>
      <c r="B69" s="1" t="str">
        <f ca="1">'Leg 2'!I38</f>
        <v>(5) MATIAS ANDREA JENNELLE</v>
      </c>
      <c r="C69" s="1" t="str">
        <f ca="1">'Leg 2'!J38</f>
        <v>(28) TORRE PAPINA MARGUERITE</v>
      </c>
      <c r="D69" s="1" t="str">
        <f ca="1">'Leg 2'!K38</f>
        <v>(5) MATIAS ANDREA JENNELLE</v>
      </c>
      <c r="E69" s="1" t="str">
        <f ca="1">'Leg 2'!L38</f>
        <v>15 - 6</v>
      </c>
    </row>
    <row r="70" spans="1:5" ht="13">
      <c r="A70" s="1">
        <v>2</v>
      </c>
      <c r="B70" s="1" t="str">
        <f ca="1">'Leg 2'!I39</f>
        <v>(21) DELA CRUZ CHIARA MICHAELA</v>
      </c>
      <c r="C70" s="1" t="str">
        <f ca="1">'Leg 2'!J39</f>
        <v>(12) SCHOFIELD CYRYLLE ANNE</v>
      </c>
      <c r="D70" s="1" t="str">
        <f ca="1">'Leg 2'!K39</f>
        <v>(12) SCHOFIELD CYRYLLE ANNE</v>
      </c>
      <c r="E70" s="1" t="str">
        <f ca="1">'Leg 2'!L39</f>
        <v>15 - 10</v>
      </c>
    </row>
    <row r="71" spans="1:5" ht="13">
      <c r="A71" s="1">
        <v>2</v>
      </c>
      <c r="B71" s="1" t="str">
        <f ca="1">'Leg 2'!I40</f>
        <v>(13) TRINIDAD SOLANA MAYUMI</v>
      </c>
      <c r="C71" s="1" t="str">
        <f ca="1">'Leg 2'!J40</f>
        <v>(20) RAGOT MIKAELA NICOLE</v>
      </c>
      <c r="D71" s="1" t="str">
        <f ca="1">'Leg 2'!K40</f>
        <v>(13) TRINIDAD SOLANA MAYUMI</v>
      </c>
      <c r="E71" s="1" t="str">
        <f ca="1">'Leg 2'!L40</f>
        <v>15 - 9</v>
      </c>
    </row>
    <row r="72" spans="1:5" ht="13">
      <c r="A72" s="1">
        <v>2</v>
      </c>
      <c r="B72" s="1" t="str">
        <f ca="1">'Leg 2'!I41</f>
        <v>(29) JUNIA ELEINA MARGUERITE</v>
      </c>
      <c r="C72" s="1" t="str">
        <f ca="1">'Leg 2'!J41</f>
        <v>(4) GOMEZ JULIANA MA. BEATRICE</v>
      </c>
      <c r="D72" s="1" t="str">
        <f ca="1">'Leg 2'!K41</f>
        <v>(4) GOMEZ JULIANA MA. BEATRICE</v>
      </c>
      <c r="E72" s="1" t="str">
        <f ca="1">'Leg 2'!L41</f>
        <v>15 - 2
12:19 PM</v>
      </c>
    </row>
    <row r="73" spans="1:5" ht="13">
      <c r="A73" s="1">
        <v>2</v>
      </c>
      <c r="B73" s="1" t="str">
        <f ca="1">'Leg 2'!I42</f>
        <v>(3) ABELLA HANNIEL</v>
      </c>
      <c r="C73" s="1" t="str">
        <f ca="1">'Leg 2'!J42</f>
        <v>(30) GEPUELA CATHERINE THERESE</v>
      </c>
      <c r="D73" s="1" t="str">
        <f ca="1">'Leg 2'!K42</f>
        <v>(3) ABELLA HANNIEL</v>
      </c>
      <c r="E73" s="1" t="str">
        <f ca="1">'Leg 2'!L42</f>
        <v>15 - 4
12:23 PM</v>
      </c>
    </row>
    <row r="74" spans="1:5" ht="13">
      <c r="A74" s="1">
        <v>2</v>
      </c>
      <c r="B74" s="1" t="str">
        <f ca="1">'Leg 2'!I43</f>
        <v>(19) FLORES MARIEL ELIANNE</v>
      </c>
      <c r="C74" s="1" t="str">
        <f ca="1">'Leg 2'!J43</f>
        <v>(14) VILLAPANDO JHOLAN</v>
      </c>
      <c r="D74" s="1" t="str">
        <f ca="1">'Leg 2'!K43</f>
        <v>(14) FLORES MARIEL ELIANNE</v>
      </c>
      <c r="E74" s="1" t="str">
        <f ca="1">'Leg 2'!L43</f>
        <v>15 - 12</v>
      </c>
    </row>
    <row r="75" spans="1:5" ht="13">
      <c r="A75" s="1">
        <v>2</v>
      </c>
      <c r="B75" s="1" t="str">
        <f ca="1">'Leg 2'!I44</f>
        <v>(11) DINOY IVY CLAIRE</v>
      </c>
      <c r="C75" s="1" t="str">
        <f ca="1">'Leg 2'!J44</f>
        <v>(22) NORO NAMI</v>
      </c>
      <c r="D75" s="1" t="str">
        <f ca="1">'Leg 2'!K44</f>
        <v>(11) DINOY IVY CLAIRE</v>
      </c>
      <c r="E75" s="1" t="str">
        <f ca="1">'Leg 2'!L44</f>
        <v>15 - 10</v>
      </c>
    </row>
    <row r="76" spans="1:5" ht="13">
      <c r="A76" s="1">
        <v>2</v>
      </c>
      <c r="B76" s="1" t="str">
        <f ca="1">'Leg 2'!I45</f>
        <v>(27) MANAOIS IRISH</v>
      </c>
      <c r="C76" s="1" t="str">
        <f ca="1">'Leg 2'!J45</f>
        <v>(6) HARRISON ASHLEY MAE MICHELLE</v>
      </c>
      <c r="D76" s="1" t="str">
        <f ca="1">'Leg 2'!K45</f>
        <v>(6) HARRISON ASHLEY MAE MICHELLE</v>
      </c>
      <c r="E76" s="1" t="str">
        <f ca="1">'Leg 2'!L45</f>
        <v>15 - 11</v>
      </c>
    </row>
    <row r="77" spans="1:5" ht="13">
      <c r="A77" s="1">
        <v>2</v>
      </c>
      <c r="B77" s="1" t="str">
        <f ca="1">'Leg 2'!I46</f>
        <v>(7) LARRAZABAL ALEXA</v>
      </c>
      <c r="C77" s="1" t="str">
        <f ca="1">'Leg 2'!J46</f>
        <v>(26) SYKAT ROBYN NOELLE</v>
      </c>
      <c r="D77" s="1" t="str">
        <f ca="1">'Leg 2'!K46</f>
        <v>(7) LARRAZABAL ALEXA</v>
      </c>
      <c r="E77" s="1" t="str">
        <f ca="1">'Leg 2'!L46</f>
        <v>15 - 7</v>
      </c>
    </row>
    <row r="78" spans="1:5" ht="13">
      <c r="A78" s="1">
        <v>2</v>
      </c>
      <c r="B78" s="1" t="str">
        <f ca="1">'Leg 2'!I47</f>
        <v>(23) MARTINEZ TASHA ISABELLA</v>
      </c>
      <c r="C78" s="1" t="str">
        <f ca="1">'Leg 2'!J47</f>
        <v>(10) BUSTOS MICKYLE REIN</v>
      </c>
      <c r="D78" s="1" t="str">
        <f ca="1">'Leg 2'!K47</f>
        <v>(10) BUSTOS MICKYLE REIN</v>
      </c>
      <c r="E78" s="1" t="str">
        <f ca="1">'Leg 2'!L47</f>
        <v>15 - 6</v>
      </c>
    </row>
    <row r="79" spans="1:5" ht="13">
      <c r="A79" s="1">
        <v>2</v>
      </c>
      <c r="B79" s="1" t="str">
        <f ca="1">'Leg 2'!I48</f>
        <v>(15) ONG JICKLE CLAIN</v>
      </c>
      <c r="C79" s="1" t="str">
        <f ca="1">'Leg 2'!J48</f>
        <v>(18) VERGARA CYRRA</v>
      </c>
      <c r="D79" s="1" t="str">
        <f ca="1">'Leg 2'!K48</f>
        <v>(15) VERGARA CYRRA</v>
      </c>
      <c r="E79" s="1" t="str">
        <f ca="1">'Leg 2'!L48</f>
        <v>15 - 12</v>
      </c>
    </row>
    <row r="80" spans="1:5" ht="13">
      <c r="A80" s="1">
        <v>2</v>
      </c>
      <c r="B80" s="1" t="str">
        <f ca="1">'Leg 2'!I49</f>
        <v>(31) BUENO MARIA KRISTINA ANGELA</v>
      </c>
      <c r="C80" s="1" t="str">
        <f ca="1">'Leg 2'!J49</f>
        <v>(2) CANLAS NINA DOMINIQUE</v>
      </c>
      <c r="D80" s="1" t="str">
        <f ca="1">'Leg 2'!K49</f>
        <v>(2) CANLAS NINA DOMINIQUE</v>
      </c>
      <c r="E80" s="1" t="str">
        <f ca="1">'Leg 2'!L49</f>
        <v>15 - 11
12:19 PM</v>
      </c>
    </row>
    <row r="81" spans="1:5" ht="13">
      <c r="A81" s="1">
        <v>2</v>
      </c>
      <c r="B81" s="1" t="str">
        <f ca="1">'Leg 2'!I50</f>
        <v>(1) SEVILLA JULIANA SHANE</v>
      </c>
      <c r="C81" s="1" t="str">
        <f ca="1">'Leg 2'!J50</f>
        <v>(16) DELOS SANTOS JAYMI</v>
      </c>
      <c r="D81" s="1" t="str">
        <f ca="1">'Leg 2'!K50</f>
        <v>(1) DELOS SANTOS JAYMI</v>
      </c>
      <c r="E81" s="1" t="str">
        <f ca="1">'Leg 2'!L50</f>
        <v>15 - 7
12:50 PM</v>
      </c>
    </row>
    <row r="82" spans="1:5" ht="13">
      <c r="A82" s="1">
        <v>2</v>
      </c>
      <c r="B82" s="1" t="str">
        <f ca="1">'Leg 2'!I51</f>
        <v>(9) EDNILAG KRUPS KAYA</v>
      </c>
      <c r="C82" s="1" t="str">
        <f ca="1">'Leg 2'!J51</f>
        <v>(8) SALVADOR IVANA</v>
      </c>
      <c r="D82" s="1" t="str">
        <f ca="1">'Leg 2'!K51</f>
        <v>(8) EDNILAG KRUPS KAYA</v>
      </c>
      <c r="E82" s="1" t="str">
        <f ca="1">'Leg 2'!L51</f>
        <v>15 - 11
12:48 PM</v>
      </c>
    </row>
    <row r="83" spans="1:5" ht="13">
      <c r="A83" s="1">
        <v>2</v>
      </c>
      <c r="B83" s="1" t="str">
        <f ca="1">'Leg 2'!I52</f>
        <v>(5) MATIAS ANDREA JENNELLE</v>
      </c>
      <c r="C83" s="1" t="str">
        <f ca="1">'Leg 2'!J52</f>
        <v>(12) SCHOFIELD CYRYLLE ANNE</v>
      </c>
      <c r="D83" s="1" t="str">
        <f ca="1">'Leg 2'!K52</f>
        <v>(5) MATIAS ANDREA JENNELLE</v>
      </c>
      <c r="E83" s="1" t="str">
        <f ca="1">'Leg 2'!L52</f>
        <v>15 - 7
12:39 PM</v>
      </c>
    </row>
    <row r="84" spans="1:5" ht="13">
      <c r="A84" s="1">
        <v>2</v>
      </c>
      <c r="B84" s="1" t="str">
        <f ca="1">'Leg 2'!I53</f>
        <v>(13) TRINIDAD SOLANA MAYUMI</v>
      </c>
      <c r="C84" s="1" t="str">
        <f ca="1">'Leg 2'!J53</f>
        <v>(4) GOMEZ JULIANA MA. BEATRICE</v>
      </c>
      <c r="D84" s="1" t="str">
        <f ca="1">'Leg 2'!K53</f>
        <v>(4) GOMEZ JULIANA MA. BEATRICE</v>
      </c>
      <c r="E84" s="1" t="str">
        <f ca="1">'Leg 2'!L53</f>
        <v>15 - 5
1:09 PM</v>
      </c>
    </row>
    <row r="85" spans="1:5" ht="13">
      <c r="A85" s="1">
        <v>2</v>
      </c>
      <c r="B85" s="1" t="str">
        <f ca="1">'Leg 2'!I54</f>
        <v>(3) ABELLA HANNIEL</v>
      </c>
      <c r="C85" s="1" t="str">
        <f ca="1">'Leg 2'!J54</f>
        <v>(14) FLORES MARIEL ELIANNE</v>
      </c>
      <c r="D85" s="1" t="str">
        <f ca="1">'Leg 2'!K54</f>
        <v>(3) ABELLA HANNIEL</v>
      </c>
      <c r="E85" s="1" t="str">
        <f ca="1">'Leg 2'!L54</f>
        <v>15 - 5
1:00 PM</v>
      </c>
    </row>
    <row r="86" spans="1:5" ht="13">
      <c r="A86" s="1">
        <v>2</v>
      </c>
      <c r="B86" s="1" t="str">
        <f ca="1">'Leg 2'!I55</f>
        <v>(11) DINOY IVY CLAIRE</v>
      </c>
      <c r="C86" s="1" t="str">
        <f ca="1">'Leg 2'!J55</f>
        <v>(6) HARRISON ASHLEY MAE MICHELLE</v>
      </c>
      <c r="D86" s="1" t="str">
        <f ca="1">'Leg 2'!K55</f>
        <v>(6) HARRISON ASHLEY MAE MICHELLE</v>
      </c>
      <c r="E86" s="1" t="str">
        <f ca="1">'Leg 2'!L55</f>
        <v>13 - 8
1:13 PM</v>
      </c>
    </row>
    <row r="87" spans="1:5" ht="13">
      <c r="A87" s="1">
        <v>2</v>
      </c>
      <c r="B87" s="1" t="str">
        <f ca="1">'Leg 2'!I56</f>
        <v>(7) LARRAZABAL ALEXA</v>
      </c>
      <c r="C87" s="1" t="str">
        <f ca="1">'Leg 2'!J56</f>
        <v>(10) BUSTOS MICKYLE REIN</v>
      </c>
      <c r="D87" s="1" t="str">
        <f ca="1">'Leg 2'!K56</f>
        <v>(7) LARRAZABAL ALEXA</v>
      </c>
      <c r="E87" s="1" t="str">
        <f ca="1">'Leg 2'!L56</f>
        <v>15 - 5
1:05 PM</v>
      </c>
    </row>
    <row r="88" spans="1:5" ht="13">
      <c r="A88" s="1">
        <v>2</v>
      </c>
      <c r="B88" s="1" t="str">
        <f ca="1">'Leg 2'!I57</f>
        <v>(15) VERGARA CYRRA</v>
      </c>
      <c r="C88" s="1" t="str">
        <f ca="1">'Leg 2'!J57</f>
        <v>(2) CANLAS NINA DOMINIQUE</v>
      </c>
      <c r="D88" s="1" t="str">
        <f ca="1">'Leg 2'!K57</f>
        <v>(2) VERGARA CYRRA</v>
      </c>
      <c r="E88" s="1" t="str">
        <f ca="1">'Leg 2'!L57</f>
        <v>15 - 8
1:04 PM</v>
      </c>
    </row>
    <row r="89" spans="1:5" ht="13">
      <c r="A89" s="1">
        <v>2</v>
      </c>
      <c r="B89" s="1" t="str">
        <f ca="1">'Leg 2'!I58</f>
        <v>(1) DELOS SANTOS JAYMI</v>
      </c>
      <c r="C89" s="1" t="str">
        <f ca="1">'Leg 2'!J58</f>
        <v>(8) EDNILAG KRUPS KAYA</v>
      </c>
      <c r="D89" s="1" t="str">
        <f ca="1">'Leg 2'!K58</f>
        <v>(1) EDNILAG KRUPS KAYA</v>
      </c>
      <c r="E89" s="1" t="str">
        <f ca="1">'Leg 2'!L58</f>
        <v>15 - 10
1:37 PM</v>
      </c>
    </row>
    <row r="90" spans="1:5" ht="13">
      <c r="A90" s="1">
        <v>2</v>
      </c>
      <c r="B90" s="1" t="str">
        <f ca="1">'Leg 2'!I59</f>
        <v>(5) MATIAS ANDREA JENNELLE</v>
      </c>
      <c r="C90" s="1" t="str">
        <f ca="1">'Leg 2'!J59</f>
        <v>(4) GOMEZ JULIANA MA. BEATRICE</v>
      </c>
      <c r="D90" s="1" t="str">
        <f ca="1">'Leg 2'!K59</f>
        <v>(4) GOMEZ JULIANA MA. BEATRICE</v>
      </c>
      <c r="E90" s="1" t="str">
        <f ca="1">'Leg 2'!L59</f>
        <v>15 - 14
1:29 PM</v>
      </c>
    </row>
    <row r="91" spans="1:5" ht="13">
      <c r="A91" s="1">
        <v>2</v>
      </c>
      <c r="B91" s="1" t="str">
        <f ca="1">'Leg 2'!I60</f>
        <v>(3) ABELLA HANNIEL</v>
      </c>
      <c r="C91" s="1" t="str">
        <f ca="1">'Leg 2'!J60</f>
        <v>(6) HARRISON ASHLEY MAE MICHELLE</v>
      </c>
      <c r="D91" s="1" t="str">
        <f ca="1">'Leg 2'!K60</f>
        <v>(3) HARRISON ASHLEY MAE MICHELLE</v>
      </c>
      <c r="E91" s="1" t="str">
        <f ca="1">'Leg 2'!L60</f>
        <v>15 - 13
1:40 PM</v>
      </c>
    </row>
    <row r="92" spans="1:5" ht="13">
      <c r="A92" s="1">
        <v>2</v>
      </c>
      <c r="B92" s="1" t="str">
        <f ca="1">'Leg 2'!I61</f>
        <v>(7) LARRAZABAL ALEXA</v>
      </c>
      <c r="C92" s="1" t="str">
        <f ca="1">'Leg 2'!J61</f>
        <v>(2) VERGARA CYRRA</v>
      </c>
      <c r="D92" s="1" t="str">
        <f ca="1">'Leg 2'!K61</f>
        <v>(2) LARRAZABAL ALEXA</v>
      </c>
      <c r="E92" s="1" t="str">
        <f ca="1">'Leg 2'!L61</f>
        <v>15 - 4
1:44 PM</v>
      </c>
    </row>
    <row r="93" spans="1:5" ht="13">
      <c r="A93" s="1">
        <v>2</v>
      </c>
      <c r="B93" s="1" t="str">
        <f ca="1">'Leg 2'!I62</f>
        <v>(1) EDNILAG KRUPS KAYA</v>
      </c>
      <c r="C93" s="1" t="str">
        <f ca="1">'Leg 2'!J62</f>
        <v>(4) GOMEZ JULIANA MA. BEATRICE</v>
      </c>
      <c r="D93" s="1" t="str">
        <f ca="1">'Leg 2'!K62</f>
        <v>(1) EDNILAG KRUPS KAYA</v>
      </c>
      <c r="E93" s="1" t="str">
        <f ca="1">'Leg 2'!L62</f>
        <v>15 - 9
2:06 PM</v>
      </c>
    </row>
    <row r="94" spans="1:5" ht="13">
      <c r="A94" s="1">
        <v>2</v>
      </c>
      <c r="B94" s="1" t="str">
        <f ca="1">'Leg 2'!I63</f>
        <v>(3) HARRISON ASHLEY MAE MICHELLE</v>
      </c>
      <c r="C94" s="1" t="str">
        <f ca="1">'Leg 2'!J63</f>
        <v>(2) LARRAZABAL ALEXA</v>
      </c>
      <c r="D94" s="1" t="str">
        <f ca="1">'Leg 2'!K63</f>
        <v>(2) LARRAZABAL ALEXA</v>
      </c>
      <c r="E94" s="1" t="str">
        <f ca="1">'Leg 2'!L63</f>
        <v>15 - 10
2:10 PM</v>
      </c>
    </row>
    <row r="95" spans="1:5" ht="13">
      <c r="A95" s="1">
        <v>2</v>
      </c>
      <c r="B95" s="1" t="str">
        <f ca="1">'Leg 2'!I64</f>
        <v>(1) EDNILAG KRUPS KAYA</v>
      </c>
      <c r="C95" s="1" t="str">
        <f ca="1">'Leg 2'!J64</f>
        <v>(2) LARRAZABAL ALEXA</v>
      </c>
      <c r="D95" s="1" t="str">
        <f ca="1">'Leg 2'!K64</f>
        <v>(1) LARRAZABAL ALEXA</v>
      </c>
      <c r="E95" s="1" t="str">
        <f ca="1">'Leg 2'!L64</f>
        <v>15 - 8
2:34 PM</v>
      </c>
    </row>
    <row r="96" spans="1:5" ht="13">
      <c r="A96" s="1">
        <v>3</v>
      </c>
      <c r="B96" s="1" t="str">
        <f ca="1">'Leg 3'!I2</f>
        <v>(1) LARRAZABAL ALEXA
NTP / PHI</v>
      </c>
      <c r="C96" s="1" t="str">
        <f ca="1">'Leg 3'!J2</f>
        <v>(32) SIA SARAH-INGRID AURELIA
RF / PHI</v>
      </c>
      <c r="D96" s="1" t="str">
        <f ca="1">'Leg 3'!K2</f>
        <v>(1) LARRAZABAL ALEXA</v>
      </c>
      <c r="E96" s="1" t="str">
        <f ca="1">'Leg 3'!L2</f>
        <v>15 - 4</v>
      </c>
    </row>
    <row r="97" spans="1:5" ht="13">
      <c r="A97" s="1">
        <v>3</v>
      </c>
      <c r="B97" s="1" t="str">
        <f ca="1">'Leg 3'!I3</f>
        <v>(17) ONG JICKLE CLAIN
CF / PHI</v>
      </c>
      <c r="C97" s="1" t="str">
        <f ca="1">'Leg 3'!J3</f>
        <v>(16) MANAOIS IRISH
UE / PHI</v>
      </c>
      <c r="D97" s="1" t="str">
        <f ca="1">'Leg 3'!K3</f>
        <v>(16) ONG JICKLE CLAIN</v>
      </c>
      <c r="E97" s="1" t="str">
        <f ca="1">'Leg 3'!L3</f>
        <v>15 - 14</v>
      </c>
    </row>
    <row r="98" spans="1:5" ht="13">
      <c r="A98" s="1">
        <v>3</v>
      </c>
      <c r="B98" s="1" t="str">
        <f ca="1">'Leg 3'!I4</f>
        <v>(9) TRINIDAD SOLANA MAYUMI
EZKRIMA / PHI</v>
      </c>
      <c r="C98" s="1" t="str">
        <f ca="1">'Leg 3'!J4</f>
        <v>(24) GEPUELA CATHERINE THERESE
UP / PHI</v>
      </c>
      <c r="D98" s="1" t="str">
        <f ca="1">'Leg 3'!K4</f>
        <v>(9) TRINIDAD SOLANA MAYUMI</v>
      </c>
      <c r="E98" s="1" t="str">
        <f ca="1">'Leg 3'!L4</f>
        <v>15 - 13</v>
      </c>
    </row>
    <row r="99" spans="1:5" ht="13">
      <c r="A99" s="1">
        <v>3</v>
      </c>
      <c r="B99" s="1" t="str">
        <f ca="1">'Leg 3'!I5</f>
        <v>(25) BARRIENTOS ANDREA
HCFC / PHI</v>
      </c>
      <c r="C99" s="1" t="str">
        <f ca="1">'Leg 3'!J5</f>
        <v>(8) HARRISON ASHLEY MAE MICHELLE
NTP / PHI</v>
      </c>
      <c r="D99" s="1" t="str">
        <f ca="1">'Leg 3'!K5</f>
        <v>(8) HARRISON ASHLEY MAE MICHELLE</v>
      </c>
      <c r="E99" s="1" t="str">
        <f ca="1">'Leg 3'!L5</f>
        <v>15 - 3</v>
      </c>
    </row>
    <row r="100" spans="1:5" ht="13">
      <c r="A100" s="1">
        <v>3</v>
      </c>
      <c r="B100" s="1" t="str">
        <f ca="1">'Leg 3'!I6</f>
        <v>(5) SCHOFIELD CYRYLLE ANNE
UE / PHI</v>
      </c>
      <c r="C100" s="1" t="str">
        <f ca="1">'Leg 3'!J6</f>
        <v>(28) SANDOVAL JUSTA ANDREA
CF / PHI</v>
      </c>
      <c r="D100" s="1" t="str">
        <f ca="1">'Leg 3'!K6</f>
        <v>(5) SCHOFIELD CYRYLLE ANNE</v>
      </c>
      <c r="E100" s="1" t="str">
        <f ca="1">'Leg 3'!L6</f>
        <v>15 - 11</v>
      </c>
    </row>
    <row r="101" spans="1:5" ht="13">
      <c r="A101" s="1">
        <v>3</v>
      </c>
      <c r="B101" s="1" t="str">
        <f ca="1">'Leg 3'!I7</f>
        <v>(21) TORRE PAPINA MARGUERITE
AF / PHI</v>
      </c>
      <c r="C101" s="1" t="str">
        <f ca="1">'Leg 3'!J7</f>
        <v>(12) BUSTOS MICKYLE REIN
RF / PHI</v>
      </c>
      <c r="D101" s="1" t="str">
        <f ca="1">'Leg 3'!K7</f>
        <v>(12) BUSTOS MICKYLE REIN</v>
      </c>
      <c r="E101" s="1" t="str">
        <f ca="1">'Leg 3'!L7</f>
        <v>15 - 6</v>
      </c>
    </row>
    <row r="102" spans="1:5" ht="13">
      <c r="A102" s="1">
        <v>3</v>
      </c>
      <c r="B102" s="1" t="str">
        <f ca="1">'Leg 3'!I8</f>
        <v>(13) CANLAS NINA DOMINIQUE
UE / PHI</v>
      </c>
      <c r="C102" s="1" t="str">
        <f ca="1">'Leg 3'!J8</f>
        <v>(20) SYKAT ROBYN NOELLE
RF / PHI</v>
      </c>
      <c r="D102" s="1" t="str">
        <f ca="1">'Leg 3'!K8</f>
        <v>(13) CANLAS NINA DOMINIQUE</v>
      </c>
      <c r="E102" s="1" t="str">
        <f ca="1">'Leg 3'!L8</f>
        <v>15 - 8</v>
      </c>
    </row>
    <row r="103" spans="1:5" ht="13">
      <c r="A103" s="1">
        <v>3</v>
      </c>
      <c r="B103" s="1" t="str">
        <f ca="1">'Leg 3'!I9</f>
        <v>(29) DELA CRUZ CHIARA MICHAELA
UPFC / PHI</v>
      </c>
      <c r="C103" s="1" t="str">
        <f ca="1">'Leg 3'!J9</f>
        <v>(4) ABELLA HANNIEL
NTP / PHI</v>
      </c>
      <c r="D103" s="1" t="str">
        <f ca="1">'Leg 3'!K9</f>
        <v>(4) ABELLA HANNIEL</v>
      </c>
      <c r="E103" s="1" t="str">
        <f ca="1">'Leg 3'!L9</f>
        <v>15 - 7</v>
      </c>
    </row>
    <row r="104" spans="1:5" ht="13">
      <c r="A104" s="1">
        <v>3</v>
      </c>
      <c r="B104" s="1" t="str">
        <f ca="1">'Leg 3'!I10</f>
        <v>(3) GOMEZ JULIANA MA. BEATRICE
MP / PHI</v>
      </c>
      <c r="C104" s="1" t="str">
        <f ca="1">'Leg 3'!J10</f>
        <v>(30) TAPALES ENDIRAJ MARGARET
UP / PHI</v>
      </c>
      <c r="D104" s="1" t="str">
        <f ca="1">'Leg 3'!K10</f>
        <v>(3) GOMEZ JULIANA MA. BEATRICE</v>
      </c>
      <c r="E104" s="1" t="str">
        <f ca="1">'Leg 3'!L10</f>
        <v>15 - 14</v>
      </c>
    </row>
    <row r="105" spans="1:5" ht="13">
      <c r="A105" s="1">
        <v>3</v>
      </c>
      <c r="B105" s="1" t="str">
        <f ca="1">'Leg 3'!I11</f>
        <v>(19) NORO NAMI
UP / PHI</v>
      </c>
      <c r="C105" s="1" t="str">
        <f ca="1">'Leg 3'!J11</f>
        <v>(14) RAGOT MIKAELA NICOLE
UE / PHI</v>
      </c>
      <c r="D105" s="1" t="str">
        <f ca="1">'Leg 3'!K11</f>
        <v>(14) NORO NAMI</v>
      </c>
      <c r="E105" s="1" t="str">
        <f ca="1">'Leg 3'!L11</f>
        <v>15 - 9</v>
      </c>
    </row>
    <row r="106" spans="1:5" ht="13">
      <c r="A106" s="1">
        <v>3</v>
      </c>
      <c r="B106" s="1" t="str">
        <f ca="1">'Leg 3'!I12</f>
        <v>(11) DELOS SANTOS JAYMI
NTP / PHI</v>
      </c>
      <c r="C106" s="1" t="str">
        <f ca="1">'Leg 3'!J12</f>
        <v>(22) BUENO MARIA KRISTINA ANGELA
CF / PHI</v>
      </c>
      <c r="D106" s="1" t="str">
        <f ca="1">'Leg 3'!K12</f>
        <v>(11) BUENO MARIA KRISTINA ANGELA</v>
      </c>
      <c r="E106" s="1" t="str">
        <f ca="1">'Leg 3'!L12</f>
        <v>15 - 14</v>
      </c>
    </row>
    <row r="107" spans="1:5" ht="13">
      <c r="A107" s="1">
        <v>3</v>
      </c>
      <c r="B107" s="1" t="str">
        <f ca="1">'Leg 3'!I13</f>
        <v>(27) MARTINEZ TASHA ISABELLA
HCFC / PHI</v>
      </c>
      <c r="C107" s="1" t="str">
        <f ca="1">'Leg 3'!J13</f>
        <v>(6) VERGARA CYRRA
DLSU / PHI</v>
      </c>
      <c r="D107" s="1" t="str">
        <f ca="1">'Leg 3'!K13</f>
        <v>(6) VERGARA CYRRA</v>
      </c>
      <c r="E107" s="1" t="str">
        <f ca="1">'Leg 3'!L13</f>
        <v>15 - 12</v>
      </c>
    </row>
    <row r="108" spans="1:5" ht="13">
      <c r="A108" s="1">
        <v>3</v>
      </c>
      <c r="B108" s="1" t="str">
        <f ca="1">'Leg 3'!I14</f>
        <v>(7) SALVADOR IVANA
CF / PHI</v>
      </c>
      <c r="C108" s="1" t="str">
        <f ca="1">'Leg 3'!J14</f>
        <v>(26) FELICIANO SUMMER LUCINE
AF / PHI</v>
      </c>
      <c r="D108" s="1" t="str">
        <f ca="1">'Leg 3'!K14</f>
        <v>(7) SALVADOR IVANA</v>
      </c>
      <c r="E108" s="1" t="str">
        <f ca="1">'Leg 3'!L14</f>
        <v>15 - 3</v>
      </c>
    </row>
    <row r="109" spans="1:5" ht="13">
      <c r="A109" s="1">
        <v>3</v>
      </c>
      <c r="B109" s="1" t="str">
        <f ca="1">'Leg 3'!I15</f>
        <v>(23) FLORES MARIEL ELIANNE
UP / PHI</v>
      </c>
      <c r="C109" s="1" t="str">
        <f ca="1">'Leg 3'!J15</f>
        <v>(10) EDNILAG KRUPS KAYA
DLSU / PHI</v>
      </c>
      <c r="D109" s="1" t="str">
        <f ca="1">'Leg 3'!K15</f>
        <v>(10) EDNILAG KRUPS KAYA</v>
      </c>
      <c r="E109" s="1" t="str">
        <f ca="1">'Leg 3'!L15</f>
        <v>15 - 11</v>
      </c>
    </row>
    <row r="110" spans="1:5" ht="13">
      <c r="A110" s="1">
        <v>3</v>
      </c>
      <c r="B110" s="1" t="str">
        <f ca="1">'Leg 3'!I16</f>
        <v>(15) MATIAS ANDREA JENNELLE
UE / PHI</v>
      </c>
      <c r="C110" s="1" t="str">
        <f ca="1">'Leg 3'!J16</f>
        <v>(18) MENDOZA JENNINA
UP / PHI</v>
      </c>
      <c r="D110" s="1" t="str">
        <f ca="1">'Leg 3'!K16</f>
        <v>(15) MATIAS ANDREA JENNELLE</v>
      </c>
      <c r="E110" s="1" t="str">
        <f ca="1">'Leg 3'!L16</f>
        <v>15 - 12</v>
      </c>
    </row>
    <row r="111" spans="1:5" ht="13">
      <c r="A111" s="1">
        <v>3</v>
      </c>
      <c r="B111" s="1" t="str">
        <f ca="1">'Leg 3'!I17</f>
        <v>(31) JUNIA ELEINA MARGUERITE
AF / PHI</v>
      </c>
      <c r="C111" s="1" t="str">
        <f ca="1">'Leg 3'!J17</f>
        <v>(2) DINOY IVY CLAIRE
MP / PHI</v>
      </c>
      <c r="D111" s="1" t="str">
        <f ca="1">'Leg 3'!K17</f>
        <v>(2) DINOY IVY CLAIRE</v>
      </c>
      <c r="E111" s="1" t="str">
        <f ca="1">'Leg 3'!L17</f>
        <v>15 - 5</v>
      </c>
    </row>
    <row r="112" spans="1:5" ht="13">
      <c r="A112" s="1">
        <v>3</v>
      </c>
      <c r="B112" s="1" t="str">
        <f ca="1">'Leg 3'!I18</f>
        <v>(1) LARRAZABAL ALEXA</v>
      </c>
      <c r="C112" s="1" t="str">
        <f ca="1">'Leg 3'!J18</f>
        <v>(16) ONG JICKLE CLAIN</v>
      </c>
      <c r="D112" s="1" t="str">
        <f ca="1">'Leg 3'!K18</f>
        <v>(1) LARRAZABAL ALEXA</v>
      </c>
      <c r="E112" s="1" t="str">
        <f ca="1">'Leg 3'!L18</f>
        <v>15 - 13
11:45 AM</v>
      </c>
    </row>
    <row r="113" spans="1:5" ht="13">
      <c r="A113" s="1">
        <v>3</v>
      </c>
      <c r="B113" s="1" t="str">
        <f ca="1">'Leg 3'!I19</f>
        <v>(9) TRINIDAD SOLANA MAYUMI</v>
      </c>
      <c r="C113" s="1" t="str">
        <f ca="1">'Leg 3'!J19</f>
        <v>(8) HARRISON ASHLEY MAE MICHELLE</v>
      </c>
      <c r="D113" s="1" t="str">
        <f ca="1">'Leg 3'!K19</f>
        <v>(8) HARRISON ASHLEY MAE MICHELLE</v>
      </c>
      <c r="E113" s="1" t="str">
        <f ca="1">'Leg 3'!L19</f>
        <v>15 - 6
11:54 AM</v>
      </c>
    </row>
    <row r="114" spans="1:5" ht="13">
      <c r="A114" s="1">
        <v>3</v>
      </c>
      <c r="B114" s="1" t="str">
        <f ca="1">'Leg 3'!I20</f>
        <v>(5) SCHOFIELD CYRYLLE ANNE</v>
      </c>
      <c r="C114" s="1" t="str">
        <f ca="1">'Leg 3'!J20</f>
        <v>(12) BUSTOS MICKYLE REIN</v>
      </c>
      <c r="D114" s="1" t="str">
        <f ca="1">'Leg 3'!K20</f>
        <v>(5) BUSTOS MICKYLE REIN</v>
      </c>
      <c r="E114" s="1" t="str">
        <f ca="1">'Leg 3'!L20</f>
        <v>15 - 9
11:47 AM</v>
      </c>
    </row>
    <row r="115" spans="1:5" ht="13">
      <c r="A115" s="1">
        <v>3</v>
      </c>
      <c r="B115" s="1" t="str">
        <f ca="1">'Leg 3'!I21</f>
        <v>(13) CANLAS NINA DOMINIQUE</v>
      </c>
      <c r="C115" s="1" t="str">
        <f ca="1">'Leg 3'!J21</f>
        <v>(4) ABELLA HANNIEL</v>
      </c>
      <c r="D115" s="1" t="str">
        <f ca="1">'Leg 3'!K21</f>
        <v>(4) ABELLA HANNIEL</v>
      </c>
      <c r="E115" s="1" t="str">
        <f ca="1">'Leg 3'!L21</f>
        <v>15 - 9
11:52 AM</v>
      </c>
    </row>
    <row r="116" spans="1:5" ht="13">
      <c r="A116" s="1">
        <v>3</v>
      </c>
      <c r="B116" s="1" t="str">
        <f ca="1">'Leg 3'!I22</f>
        <v>(3) GOMEZ JULIANA MA. BEATRICE</v>
      </c>
      <c r="C116" s="1" t="str">
        <f ca="1">'Leg 3'!J22</f>
        <v>(14) NORO NAMI</v>
      </c>
      <c r="D116" s="1" t="str">
        <f ca="1">'Leg 3'!K22</f>
        <v>(3) GOMEZ JULIANA MA. BEATRICE</v>
      </c>
      <c r="E116" s="1" t="str">
        <f ca="1">'Leg 3'!L22</f>
        <v>15 - 7
12:16 PM</v>
      </c>
    </row>
    <row r="117" spans="1:5" ht="13">
      <c r="A117" s="1">
        <v>3</v>
      </c>
      <c r="B117" s="1" t="str">
        <f ca="1">'Leg 3'!I23</f>
        <v>(11) BUENO MARIA KRISTINA ANGELA</v>
      </c>
      <c r="C117" s="1" t="str">
        <f ca="1">'Leg 3'!J23</f>
        <v>(6) VERGARA CYRRA</v>
      </c>
      <c r="D117" s="1" t="str">
        <f ca="1">'Leg 3'!K23</f>
        <v>(6) VERGARA CYRRA</v>
      </c>
      <c r="E117" s="1" t="str">
        <f ca="1">'Leg 3'!L23</f>
        <v>15 - 10
12:14 PM</v>
      </c>
    </row>
    <row r="118" spans="1:5" ht="13">
      <c r="A118" s="1">
        <v>3</v>
      </c>
      <c r="B118" s="1" t="str">
        <f ca="1">'Leg 3'!I24</f>
        <v>(7) SALVADOR IVANA</v>
      </c>
      <c r="C118" s="1" t="str">
        <f ca="1">'Leg 3'!J24</f>
        <v>(10) EDNILAG KRUPS KAYA</v>
      </c>
      <c r="D118" s="1" t="str">
        <f ca="1">'Leg 3'!K24</f>
        <v>(7) SALVADOR IVANA</v>
      </c>
      <c r="E118" s="1" t="str">
        <f ca="1">'Leg 3'!L24</f>
        <v>15 - 10
12:12 PM</v>
      </c>
    </row>
    <row r="119" spans="1:5" ht="13">
      <c r="A119" s="1">
        <v>3</v>
      </c>
      <c r="B119" s="1" t="str">
        <f ca="1">'Leg 3'!I25</f>
        <v>(15) MATIAS ANDREA JENNELLE</v>
      </c>
      <c r="C119" s="1" t="str">
        <f ca="1">'Leg 3'!J25</f>
        <v>(2) DINOY IVY CLAIRE</v>
      </c>
      <c r="D119" s="1" t="str">
        <f ca="1">'Leg 3'!K25</f>
        <v>(2) DINOY IVY CLAIRE</v>
      </c>
      <c r="E119" s="1" t="str">
        <f ca="1">'Leg 3'!L25</f>
        <v>15 - 8
12:14 PM</v>
      </c>
    </row>
    <row r="120" spans="1:5" ht="13">
      <c r="A120" s="1">
        <v>3</v>
      </c>
      <c r="B120" s="1" t="str">
        <f ca="1">'Leg 3'!I26</f>
        <v>(1) LARRAZABAL ALEXA</v>
      </c>
      <c r="C120" s="1" t="str">
        <f ca="1">'Leg 3'!J26</f>
        <v>(8) HARRISON ASHLEY MAE MICHELLE</v>
      </c>
      <c r="D120" s="1" t="str">
        <f ca="1">'Leg 3'!K26</f>
        <v>(1) LARRAZABAL ALEXA</v>
      </c>
      <c r="E120" s="1" t="str">
        <f ca="1">'Leg 3'!L26</f>
        <v>15 - 8
12:49 PM</v>
      </c>
    </row>
    <row r="121" spans="1:5" ht="13">
      <c r="A121" s="1">
        <v>3</v>
      </c>
      <c r="B121" s="1" t="str">
        <f ca="1">'Leg 3'!I27</f>
        <v>(5) BUSTOS MICKYLE REIN</v>
      </c>
      <c r="C121" s="1" t="str">
        <f ca="1">'Leg 3'!J27</f>
        <v>(4) ABELLA HANNIEL</v>
      </c>
      <c r="D121" s="1" t="str">
        <f ca="1">'Leg 3'!K27</f>
        <v>(4) ABELLA HANNIEL</v>
      </c>
      <c r="E121" s="1" t="str">
        <f ca="1">'Leg 3'!L27</f>
        <v>15 - 11
12:47 PM</v>
      </c>
    </row>
    <row r="122" spans="1:5" ht="13">
      <c r="A122" s="1">
        <v>3</v>
      </c>
      <c r="B122" s="1" t="str">
        <f ca="1">'Leg 3'!I28</f>
        <v>(3) GOMEZ JULIANA MA. BEATRICE</v>
      </c>
      <c r="C122" s="1" t="str">
        <f ca="1">'Leg 3'!J28</f>
        <v>(6) VERGARA CYRRA</v>
      </c>
      <c r="D122" s="1" t="str">
        <f ca="1">'Leg 3'!K28</f>
        <v>(3) GOMEZ JULIANA MA. BEATRICE</v>
      </c>
      <c r="E122" s="1" t="str">
        <f ca="1">'Leg 3'!L28</f>
        <v>15 - 14
12:50 PM</v>
      </c>
    </row>
    <row r="123" spans="1:5" ht="13">
      <c r="A123" s="1">
        <v>3</v>
      </c>
      <c r="B123" s="1" t="str">
        <f ca="1">'Leg 3'!I29</f>
        <v>(7) SALVADOR IVANA</v>
      </c>
      <c r="C123" s="1" t="str">
        <f ca="1">'Leg 3'!J29</f>
        <v>(2) DINOY IVY CLAIRE</v>
      </c>
      <c r="D123" s="1" t="str">
        <f ca="1">'Leg 3'!K29</f>
        <v>(2) DINOY IVY CLAIRE</v>
      </c>
      <c r="E123" s="1" t="str">
        <f ca="1">'Leg 3'!L29</f>
        <v>15 - 1
12:49 PM</v>
      </c>
    </row>
    <row r="124" spans="1:5" ht="13">
      <c r="A124" s="1">
        <v>3</v>
      </c>
      <c r="B124" s="1" t="str">
        <f ca="1">'Leg 3'!I30</f>
        <v>(1) LARRAZABAL ALEXA</v>
      </c>
      <c r="C124" s="1" t="str">
        <f ca="1">'Leg 3'!J30</f>
        <v>(4) ABELLA HANNIEL</v>
      </c>
      <c r="D124" s="1" t="str">
        <f ca="1">'Leg 3'!K30</f>
        <v>(1) ABELLA HANNIEL</v>
      </c>
      <c r="E124" s="1" t="str">
        <f ca="1">'Leg 3'!L30</f>
        <v>15 - 12
1:17 PM</v>
      </c>
    </row>
    <row r="125" spans="1:5" ht="13">
      <c r="A125" s="1">
        <v>3</v>
      </c>
      <c r="B125" s="1" t="str">
        <f ca="1">'Leg 3'!I31</f>
        <v>(3) GOMEZ JULIANA MA. BEATRICE</v>
      </c>
      <c r="C125" s="1" t="str">
        <f ca="1">'Leg 3'!J31</f>
        <v>(2) DINOY IVY CLAIRE</v>
      </c>
      <c r="D125" s="1" t="str">
        <f ca="1">'Leg 3'!K31</f>
        <v>(2) DINOY IVY CLAIRE</v>
      </c>
      <c r="E125" s="1" t="str">
        <f ca="1">'Leg 3'!L31</f>
        <v>12 - 11
1:15 PM</v>
      </c>
    </row>
    <row r="126" spans="1:5" ht="13">
      <c r="A126" s="1">
        <v>3</v>
      </c>
      <c r="B126" s="1" t="str">
        <f ca="1">'Leg 3'!I32</f>
        <v>(1) ABELLA HANNIEL</v>
      </c>
      <c r="C126" s="1" t="str">
        <f ca="1">'Leg 3'!J32</f>
        <v>(2) DINOY IVY CLAIRE</v>
      </c>
      <c r="D126" s="1" t="str">
        <f ca="1">'Leg 3'!K32</f>
        <v>(1) DINOY IVY CLAIRE</v>
      </c>
      <c r="E126" s="1" t="str">
        <f ca="1">'Leg 3'!L32</f>
        <v>12 - 6
1:46 PM Strip F</v>
      </c>
    </row>
    <row r="127" spans="1:5" ht="13">
      <c r="A127" s="1">
        <v>4</v>
      </c>
      <c r="B127" s="1" t="str">
        <f ca="1">'Leg 4'!I2</f>
        <v>(1) DINOY IVY CLAIRE
PMPA / PHI</v>
      </c>
      <c r="C127" s="1" t="str">
        <f ca="1">'Leg 4'!J2</f>
        <v>(32) - BYE -</v>
      </c>
      <c r="D127" s="1" t="str">
        <f ca="1">'Leg 4'!K2</f>
        <v>(1) DINOY IVY CLAIRE</v>
      </c>
      <c r="E127" s="1">
        <f ca="1">'Leg 4'!L2</f>
        <v>0</v>
      </c>
    </row>
    <row r="128" spans="1:5" ht="13">
      <c r="A128" s="1">
        <v>4</v>
      </c>
      <c r="B128" s="1" t="str">
        <f ca="1">'Leg 4'!I3</f>
        <v>(17) BUENO MARIA KRISTINA ANGELA
CF / PHI</v>
      </c>
      <c r="C128" s="1" t="str">
        <f ca="1">'Leg 4'!J3</f>
        <v>(16) BUSTOS MICKYLE REIN
RF / PHI</v>
      </c>
      <c r="D128" s="1" t="str">
        <f ca="1">'Leg 4'!K3</f>
        <v>(16) BUSTOS MICKYLE REIN</v>
      </c>
      <c r="E128" s="1" t="str">
        <f ca="1">'Leg 4'!L3</f>
        <v>15 - 6</v>
      </c>
    </row>
    <row r="129" spans="1:5" ht="13">
      <c r="A129" s="1">
        <v>4</v>
      </c>
      <c r="B129" s="1" t="str">
        <f ca="1">'Leg 4'!I4</f>
        <v>(9) TAPALES ENDIRAJ MARGARET
UP / PHI</v>
      </c>
      <c r="C129" s="1" t="str">
        <f ca="1">'Leg 4'!J4</f>
        <v>(24) TORRE PAPINA MARGUERITE
AF / PHI</v>
      </c>
      <c r="D129" s="1" t="str">
        <f ca="1">'Leg 4'!K4</f>
        <v>(9) TAPALES ENDIRAJ MARGARET</v>
      </c>
      <c r="E129" s="1" t="str">
        <f ca="1">'Leg 4'!L4</f>
        <v>15 - 12</v>
      </c>
    </row>
    <row r="130" spans="1:5" ht="13">
      <c r="A130" s="1">
        <v>4</v>
      </c>
      <c r="B130" s="1" t="str">
        <f ca="1">'Leg 4'!I5</f>
        <v>(25) SYKAT ROBYN NOELLE
RF / PHI</v>
      </c>
      <c r="C130" s="1" t="str">
        <f ca="1">'Leg 4'!J5</f>
        <v>(8) SANDOVAL JUSTA ANDREA
CF / PHI</v>
      </c>
      <c r="D130" s="1" t="str">
        <f ca="1">'Leg 4'!K5</f>
        <v>(8) SYKAT ROBYN NOELLE</v>
      </c>
      <c r="E130" s="1" t="str">
        <f ca="1">'Leg 4'!L5</f>
        <v>15 - 14</v>
      </c>
    </row>
    <row r="131" spans="1:5" ht="13">
      <c r="A131" s="1">
        <v>4</v>
      </c>
      <c r="B131" s="1" t="str">
        <f ca="1">'Leg 4'!I6</f>
        <v>(5) ABELLA HANNIEL
NTP / PHI</v>
      </c>
      <c r="C131" s="1" t="str">
        <f ca="1">'Leg 4'!J6</f>
        <v>(28) RAFAEL GAY MARIE
RF / PHI</v>
      </c>
      <c r="D131" s="1" t="str">
        <f ca="1">'Leg 4'!K6</f>
        <v>(5) ABELLA HANNIEL</v>
      </c>
      <c r="E131" s="1" t="str">
        <f ca="1">'Leg 4'!L6</f>
        <v>15 - 4</v>
      </c>
    </row>
    <row r="132" spans="1:5" ht="13">
      <c r="A132" s="1">
        <v>4</v>
      </c>
      <c r="B132" s="1" t="str">
        <f ca="1">'Leg 4'!I7</f>
        <v>(21) JUNIA ELEINA MARGUERITE
AF / PHI</v>
      </c>
      <c r="C132" s="1" t="str">
        <f ca="1">'Leg 4'!J7</f>
        <v>(12) SALVADOR IVANA
CF / PHI</v>
      </c>
      <c r="D132" s="1" t="str">
        <f ca="1">'Leg 4'!K7</f>
        <v>(12) SALVADOR IVANA</v>
      </c>
      <c r="E132" s="1" t="str">
        <f ca="1">'Leg 4'!L7</f>
        <v>15 - 6</v>
      </c>
    </row>
    <row r="133" spans="1:5" ht="13">
      <c r="A133" s="1">
        <v>4</v>
      </c>
      <c r="B133" s="1" t="str">
        <f ca="1">'Leg 4'!I8</f>
        <v>(13) VILLAPANDO JHOLAN
DLSU / PHI</v>
      </c>
      <c r="C133" s="1" t="str">
        <f ca="1">'Leg 4'!J8</f>
        <v>(20) NORO NAMI
UP / PHI</v>
      </c>
      <c r="D133" s="1" t="str">
        <f ca="1">'Leg 4'!K8</f>
        <v>(13) NORO NAMI</v>
      </c>
      <c r="E133" s="1" t="str">
        <f ca="1">'Leg 4'!L8</f>
        <v>15 - 14</v>
      </c>
    </row>
    <row r="134" spans="1:5" ht="13">
      <c r="A134" s="1">
        <v>4</v>
      </c>
      <c r="B134" s="1" t="str">
        <f ca="1">'Leg 4'!I9</f>
        <v>(29) SIA SARAH-INGRID AURELIA
RF / PHI</v>
      </c>
      <c r="C134" s="1" t="str">
        <f ca="1">'Leg 4'!J9</f>
        <v>(4) HARRISON ASHLEY MAE MICHELLE
NTP / PHI</v>
      </c>
      <c r="D134" s="1" t="str">
        <f ca="1">'Leg 4'!K9</f>
        <v>(4) HARRISON ASHLEY MAE MICHELLE</v>
      </c>
      <c r="E134" s="1" t="str">
        <f ca="1">'Leg 4'!L9</f>
        <v>15 - 5</v>
      </c>
    </row>
    <row r="135" spans="1:5" ht="13">
      <c r="A135" s="1">
        <v>4</v>
      </c>
      <c r="B135" s="1" t="str">
        <f ca="1">'Leg 4'!I10</f>
        <v>(3) MATIAS ANDREA JENNELLE
UE / PHI</v>
      </c>
      <c r="C135" s="1" t="str">
        <f ca="1">'Leg 4'!J10</f>
        <v>(30) MANAOIS IRISH
UE / PHI</v>
      </c>
      <c r="D135" s="1" t="str">
        <f ca="1">'Leg 4'!K10</f>
        <v>(3) MATIAS ANDREA JENNELLE</v>
      </c>
      <c r="E135" s="1" t="str">
        <f ca="1">'Leg 4'!L10</f>
        <v>15 - 11</v>
      </c>
    </row>
    <row r="136" spans="1:5" ht="13">
      <c r="A136" s="1">
        <v>4</v>
      </c>
      <c r="B136" s="1" t="str">
        <f ca="1">'Leg 4'!I11</f>
        <v>(19) CAPINA MIYAKE
DLSZ / PHI</v>
      </c>
      <c r="C136" s="1" t="str">
        <f ca="1">'Leg 4'!J11</f>
        <v>(14) MENDOZA JENNINA
UP / PHI</v>
      </c>
      <c r="D136" s="1" t="str">
        <f ca="1">'Leg 4'!K11</f>
        <v>(14) MENDOZA JENNINA</v>
      </c>
      <c r="E136" s="1" t="str">
        <f ca="1">'Leg 4'!L11</f>
        <v>15 - 13</v>
      </c>
    </row>
    <row r="137" spans="1:5" ht="13">
      <c r="A137" s="1">
        <v>4</v>
      </c>
      <c r="B137" s="1" t="str">
        <f ca="1">'Leg 4'!I12</f>
        <v>(11) DELOS SANTOS JAYMI
NTP / PHI</v>
      </c>
      <c r="C137" s="1" t="str">
        <f ca="1">'Leg 4'!J12</f>
        <v>(22) FLORES MARIEL ELIANNE
UP / PHI</v>
      </c>
      <c r="D137" s="1" t="str">
        <f ca="1">'Leg 4'!K12</f>
        <v>(11) DELOS SANTOS JAYMI</v>
      </c>
      <c r="E137" s="1" t="str">
        <f ca="1">'Leg 4'!L12</f>
        <v>15 - 14</v>
      </c>
    </row>
    <row r="138" spans="1:5" ht="13">
      <c r="A138" s="1">
        <v>4</v>
      </c>
      <c r="B138" s="1" t="str">
        <f ca="1">'Leg 4'!I13</f>
        <v>(27) RAGOT MIKAELA NICOLE
UE / PHI</v>
      </c>
      <c r="C138" s="1" t="str">
        <f ca="1">'Leg 4'!J13</f>
        <v>(6) CANLAS NINA DOMINIQUE
UE / PHI</v>
      </c>
      <c r="D138" s="1" t="str">
        <f ca="1">'Leg 4'!K13</f>
        <v>(6) CANLAS NINA DOMINIQUE</v>
      </c>
      <c r="E138" s="1" t="str">
        <f ca="1">'Leg 4'!L13</f>
        <v>15 - 13</v>
      </c>
    </row>
    <row r="139" spans="1:5" ht="13">
      <c r="A139" s="1">
        <v>4</v>
      </c>
      <c r="B139" s="1" t="str">
        <f ca="1">'Leg 4'!I14</f>
        <v>(7) GOMEZ JULIANA MA. BEATRICE
PMPA / PHI</v>
      </c>
      <c r="C139" s="1" t="str">
        <f ca="1">'Leg 4'!J14</f>
        <v>(26) DEL ROSARIO SARINA KELLY
RF / PHI</v>
      </c>
      <c r="D139" s="1" t="str">
        <f ca="1">'Leg 4'!K14</f>
        <v>(7) GOMEZ JULIANA MA. BEATRICE</v>
      </c>
      <c r="E139" s="1" t="str">
        <f ca="1">'Leg 4'!L14</f>
        <v>15 - 6</v>
      </c>
    </row>
    <row r="140" spans="1:5" ht="13">
      <c r="A140" s="1">
        <v>4</v>
      </c>
      <c r="B140" s="1" t="str">
        <f ca="1">'Leg 4'!I15</f>
        <v>(23) EDNILAG KRUPSKAYA
DLSU / PHI</v>
      </c>
      <c r="C140" s="1" t="str">
        <f ca="1">'Leg 4'!J15</f>
        <v>(10) RAFAEL RANA IMOGEN
ADMU/RF / PHI</v>
      </c>
      <c r="D140" s="1" t="str">
        <f ca="1">'Leg 4'!K15</f>
        <v>(10) EDNILAG KRUPSKAYA</v>
      </c>
      <c r="E140" s="1" t="str">
        <f ca="1">'Leg 4'!L15</f>
        <v>15 - 13</v>
      </c>
    </row>
    <row r="141" spans="1:5" ht="13">
      <c r="A141" s="1">
        <v>4</v>
      </c>
      <c r="B141" s="1" t="str">
        <f ca="1">'Leg 4'!I16</f>
        <v>(15) UY JANA ANNIKA
CF / PHI</v>
      </c>
      <c r="C141" s="1" t="str">
        <f ca="1">'Leg 4'!J16</f>
        <v>(18) BACCAY MARTINA JENE
DLSZ / PHI</v>
      </c>
      <c r="D141" s="1" t="str">
        <f ca="1">'Leg 4'!K16</f>
        <v>(15) UY JANA ANNIKA</v>
      </c>
      <c r="E141" s="1" t="str">
        <f ca="1">'Leg 4'!L16</f>
        <v>15 - 11</v>
      </c>
    </row>
    <row r="142" spans="1:5" ht="13">
      <c r="A142" s="1">
        <v>4</v>
      </c>
      <c r="B142" s="1" t="str">
        <f ca="1">'Leg 4'!I17</f>
        <v>(31) MANGULABNAN KIANA DOMINIQUE
UPFC / PHI</v>
      </c>
      <c r="C142" s="1" t="str">
        <f ca="1">'Leg 4'!J17</f>
        <v>(2) LARRAZABAL ALEXA
NTP / PHI</v>
      </c>
      <c r="D142" s="1" t="str">
        <f ca="1">'Leg 4'!K17</f>
        <v>(2) LARRAZABAL ALEXA</v>
      </c>
      <c r="E142" s="1" t="str">
        <f ca="1">'Leg 4'!L17</f>
        <v>15 - 3</v>
      </c>
    </row>
    <row r="143" spans="1:5" ht="13">
      <c r="A143" s="1">
        <v>4</v>
      </c>
      <c r="B143" s="1" t="str">
        <f ca="1">'Leg 4'!I18</f>
        <v>(1) DINOY IVY CLAIRE</v>
      </c>
      <c r="C143" s="1" t="str">
        <f ca="1">'Leg 4'!J18</f>
        <v>(16) BUSTOS MICKYLE REIN</v>
      </c>
      <c r="D143" s="1" t="str">
        <f ca="1">'Leg 4'!K18</f>
        <v>(1) DINOY IVY CLAIRE</v>
      </c>
      <c r="E143" s="1" t="str">
        <f ca="1">'Leg 4'!L18</f>
        <v>15 - 9
11:47 AM</v>
      </c>
    </row>
    <row r="144" spans="1:5" ht="13">
      <c r="A144" s="1">
        <v>4</v>
      </c>
      <c r="B144" s="1" t="str">
        <f ca="1">'Leg 4'!I19</f>
        <v>(9) TAPALES ENDIRAJ MARGARET</v>
      </c>
      <c r="C144" s="1" t="str">
        <f ca="1">'Leg 4'!J19</f>
        <v>(8) SYKAT ROBYN NOELLE</v>
      </c>
      <c r="D144" s="1" t="str">
        <f ca="1">'Leg 4'!K19</f>
        <v>(8) SYKAT ROBYN NOELLE</v>
      </c>
      <c r="E144" s="1" t="str">
        <f ca="1">'Leg 4'!L19</f>
        <v>15 - 10
11:58 AM</v>
      </c>
    </row>
    <row r="145" spans="1:5" ht="13">
      <c r="A145" s="1">
        <v>4</v>
      </c>
      <c r="B145" s="1" t="str">
        <f ca="1">'Leg 4'!I20</f>
        <v>(5) ABELLA HANNIEL</v>
      </c>
      <c r="C145" s="1" t="str">
        <f ca="1">'Leg 4'!J20</f>
        <v>(12) SALVADOR IVANA</v>
      </c>
      <c r="D145" s="1" t="str">
        <f ca="1">'Leg 4'!K20</f>
        <v>(5) ABELLA HANNIEL</v>
      </c>
      <c r="E145" s="1" t="str">
        <f ca="1">'Leg 4'!L20</f>
        <v>15 - 10
11:50 AM</v>
      </c>
    </row>
    <row r="146" spans="1:5" ht="13">
      <c r="A146" s="1">
        <v>4</v>
      </c>
      <c r="B146" s="1" t="str">
        <f ca="1">'Leg 4'!I21</f>
        <v>(13) NORO NAMI</v>
      </c>
      <c r="C146" s="1" t="str">
        <f ca="1">'Leg 4'!J21</f>
        <v>(4) HARRISON ASHLEY MAE MICHELLE</v>
      </c>
      <c r="D146" s="1" t="str">
        <f ca="1">'Leg 4'!K21</f>
        <v>(4) HARRISON ASHLEY MAE MICHELLE</v>
      </c>
      <c r="E146" s="1" t="str">
        <f ca="1">'Leg 4'!L21</f>
        <v>15 - 7
11:53 AM</v>
      </c>
    </row>
    <row r="147" spans="1:5" ht="13">
      <c r="A147" s="1">
        <v>4</v>
      </c>
      <c r="B147" s="1" t="str">
        <f ca="1">'Leg 4'!I22</f>
        <v>(3) MATIAS ANDREA JENNELLE</v>
      </c>
      <c r="C147" s="1" t="str">
        <f ca="1">'Leg 4'!J22</f>
        <v>(14) MENDOZA JENNINA</v>
      </c>
      <c r="D147" s="1" t="str">
        <f ca="1">'Leg 4'!K22</f>
        <v>(3) MATIAS ANDREA JENNELLE</v>
      </c>
      <c r="E147" s="1" t="str">
        <f ca="1">'Leg 4'!L22</f>
        <v>15 - 11
12:16 PM</v>
      </c>
    </row>
    <row r="148" spans="1:5" ht="13">
      <c r="A148" s="1">
        <v>4</v>
      </c>
      <c r="B148" s="1" t="str">
        <f ca="1">'Leg 4'!I23</f>
        <v>(11) DELOS SANTOS JAYMI</v>
      </c>
      <c r="C148" s="1" t="str">
        <f ca="1">'Leg 4'!J23</f>
        <v>(6) CANLAS NINA DOMINIQUE</v>
      </c>
      <c r="D148" s="1" t="str">
        <f ca="1">'Leg 4'!K23</f>
        <v>(6) DELOS SANTOS JAYMI</v>
      </c>
      <c r="E148" s="1" t="str">
        <f ca="1">'Leg 4'!L23</f>
        <v>15 - 12
12:19 PM</v>
      </c>
    </row>
    <row r="149" spans="1:5" ht="13">
      <c r="A149" s="1">
        <v>4</v>
      </c>
      <c r="B149" s="1" t="str">
        <f ca="1">'Leg 4'!I24</f>
        <v>(7) GOMEZ JULIANA MA. BEATRICE</v>
      </c>
      <c r="C149" s="1" t="str">
        <f ca="1">'Leg 4'!J24</f>
        <v>(10) EDNILAG KRUPSKAYA</v>
      </c>
      <c r="D149" s="1" t="str">
        <f ca="1">'Leg 4'!K24</f>
        <v>(7) GOMEZ JULIANA MA. BEATRICE</v>
      </c>
      <c r="E149" s="1" t="str">
        <f ca="1">'Leg 4'!L24</f>
        <v>15 - 5
12:17 PM</v>
      </c>
    </row>
    <row r="150" spans="1:5" ht="13">
      <c r="A150" s="1">
        <v>4</v>
      </c>
      <c r="B150" s="1" t="str">
        <f ca="1">'Leg 4'!I25</f>
        <v>(15) UY JANA ANNIKA</v>
      </c>
      <c r="C150" s="1" t="str">
        <f ca="1">'Leg 4'!J25</f>
        <v>(2) LARRAZABAL ALEXA</v>
      </c>
      <c r="D150" s="1" t="str">
        <f ca="1">'Leg 4'!K25</f>
        <v>(2) LARRAZABAL ALEXA</v>
      </c>
      <c r="E150" s="1" t="str">
        <f ca="1">'Leg 4'!L25</f>
        <v>15 - 8
12:21 PM</v>
      </c>
    </row>
    <row r="151" spans="1:5" ht="13">
      <c r="A151" s="1">
        <v>4</v>
      </c>
      <c r="B151" s="1" t="str">
        <f ca="1">'Leg 4'!I26</f>
        <v>(1) DINOY IVY CLAIRE</v>
      </c>
      <c r="C151" s="1" t="str">
        <f ca="1">'Leg 4'!J26</f>
        <v>(8) SYKAT ROBYN NOELLE</v>
      </c>
      <c r="D151" s="1" t="str">
        <f ca="1">'Leg 4'!K26</f>
        <v>(1) DINOY IVY CLAIRE</v>
      </c>
      <c r="E151" s="1" t="str">
        <f ca="1">'Leg 4'!L26</f>
        <v>15 - 8
12:50 PM</v>
      </c>
    </row>
    <row r="152" spans="1:5" ht="13">
      <c r="A152" s="1">
        <v>4</v>
      </c>
      <c r="B152" s="1" t="str">
        <f ca="1">'Leg 4'!I27</f>
        <v>(5) ABELLA HANNIEL</v>
      </c>
      <c r="C152" s="1" t="str">
        <f ca="1">'Leg 4'!J27</f>
        <v>(4) HARRISON ASHLEY MAE MICHELLE</v>
      </c>
      <c r="D152" s="1" t="str">
        <f ca="1">'Leg 4'!K27</f>
        <v>(4) ABELLA HANNIEL</v>
      </c>
      <c r="E152" s="1" t="str">
        <f ca="1">'Leg 4'!L27</f>
        <v>15 - 9
12:49 PM</v>
      </c>
    </row>
    <row r="153" spans="1:5" ht="13">
      <c r="A153" s="1">
        <v>4</v>
      </c>
      <c r="B153" s="1" t="str">
        <f ca="1">'Leg 4'!I28</f>
        <v>(3) MATIAS ANDREA JENNELLE</v>
      </c>
      <c r="C153" s="1" t="str">
        <f ca="1">'Leg 4'!J28</f>
        <v>(6) DELOS SANTOS JAYMI</v>
      </c>
      <c r="D153" s="1" t="str">
        <f ca="1">'Leg 4'!K28</f>
        <v>(3) DELOS SANTOS JAYMI</v>
      </c>
      <c r="E153" s="1" t="str">
        <f ca="1">'Leg 4'!L28</f>
        <v>15 - 10
12:47 PM</v>
      </c>
    </row>
    <row r="154" spans="1:5" ht="13">
      <c r="A154" s="1">
        <v>4</v>
      </c>
      <c r="B154" s="1" t="str">
        <f ca="1">'Leg 4'!I29</f>
        <v>(7) GOMEZ JULIANA MA. BEATRICE</v>
      </c>
      <c r="C154" s="1" t="str">
        <f ca="1">'Leg 4'!J29</f>
        <v>(2) LARRAZABAL ALEXA</v>
      </c>
      <c r="D154" s="1" t="str">
        <f ca="1">'Leg 4'!K29</f>
        <v>(2) LARRAZABAL ALEXA</v>
      </c>
      <c r="E154" s="1" t="str">
        <f ca="1">'Leg 4'!L29</f>
        <v>15 - 7
12:43 PM</v>
      </c>
    </row>
    <row r="155" spans="1:5" ht="13">
      <c r="A155" s="1">
        <v>4</v>
      </c>
      <c r="B155" s="1" t="str">
        <f ca="1">'Leg 4'!I30</f>
        <v>(1) DINOY IVY CLAIRE</v>
      </c>
      <c r="C155" s="1" t="str">
        <f ca="1">'Leg 4'!J30</f>
        <v>(4) ABELLA HANNIEL</v>
      </c>
      <c r="D155" s="1" t="str">
        <f ca="1">'Leg 4'!K30</f>
        <v>(1) ABELLA HANNIEL</v>
      </c>
      <c r="E155" s="1" t="str">
        <f ca="1">'Leg 4'!L30</f>
        <v>13 - 12
1:25 PM</v>
      </c>
    </row>
    <row r="156" spans="1:5" ht="13">
      <c r="A156" s="1">
        <v>4</v>
      </c>
      <c r="B156" s="1" t="str">
        <f ca="1">'Leg 4'!I31</f>
        <v>(3) DELOS SANTOS JAYMI</v>
      </c>
      <c r="C156" s="1" t="str">
        <f ca="1">'Leg 4'!J31</f>
        <v>(2) LARRAZABAL ALEXA</v>
      </c>
      <c r="D156" s="1" t="str">
        <f ca="1">'Leg 4'!K31</f>
        <v>(2) LARRAZABAL ALEXA</v>
      </c>
      <c r="E156" s="1" t="str">
        <f ca="1">'Leg 4'!L31</f>
        <v>15 - 10
1:22 PM</v>
      </c>
    </row>
    <row r="157" spans="1:5" ht="13">
      <c r="A157" s="1">
        <v>4</v>
      </c>
      <c r="B157" s="1" t="str">
        <f ca="1">'Leg 4'!I32</f>
        <v>(1) ABELLA HANNIEL</v>
      </c>
      <c r="C157" s="1" t="str">
        <f ca="1">'Leg 4'!J32</f>
        <v>(2) LARRAZABAL ALEXA</v>
      </c>
      <c r="D157" s="1" t="str">
        <f ca="1">'Leg 4'!K32</f>
        <v>(1) LARRAZABAL ALEXA</v>
      </c>
      <c r="E157" s="1" t="str">
        <f ca="1">'Leg 4'!L32</f>
        <v>15 - 10
2:02 PM</v>
      </c>
    </row>
    <row r="158" spans="1:5" ht="13">
      <c r="A158" s="1">
        <v>5</v>
      </c>
      <c r="B158" s="1" t="str">
        <f ca="1">'Leg 5'!I2</f>
        <v>(1) ABELLA HANNIEL
NTP / PHI</v>
      </c>
      <c r="C158" s="1" t="str">
        <f ca="1">'Leg 5'!J2</f>
        <v>(32) - BYE -</v>
      </c>
      <c r="D158" s="1" t="str">
        <f ca="1">'Leg 5'!K2</f>
        <v>(1) ABELLA HANNIEL</v>
      </c>
      <c r="E158" s="1">
        <f ca="1">'Leg 5'!L2</f>
        <v>0</v>
      </c>
    </row>
    <row r="159" spans="1:5" ht="13">
      <c r="A159" s="1">
        <v>5</v>
      </c>
      <c r="B159" s="1" t="str">
        <f ca="1">'Leg 5'!I3</f>
        <v>(17) FLORES MARIEL ELIANNE FRANCESCA
UP / PHI</v>
      </c>
      <c r="C159" s="1" t="str">
        <f ca="1">'Leg 5'!J3</f>
        <v>(16) ONG JICKLE CLAIN
CF / PHI</v>
      </c>
      <c r="D159" s="1" t="str">
        <f ca="1">'Leg 5'!K3</f>
        <v>(16) FLORES MARIEL ELIANNE FRANCESCA</v>
      </c>
      <c r="E159" s="1" t="str">
        <f ca="1">'Leg 5'!L3</f>
        <v>15 - 9</v>
      </c>
    </row>
    <row r="160" spans="1:5" ht="13">
      <c r="A160" s="1">
        <v>5</v>
      </c>
      <c r="B160" s="1" t="str">
        <f ca="1">'Leg 5'!I4</f>
        <v>(9) DELOS SANTOS JAYMI
NTP / PHI</v>
      </c>
      <c r="C160" s="1" t="str">
        <f ca="1">'Leg 5'!J4</f>
        <v>(24) SALVADOR IVANA
CF / PHI</v>
      </c>
      <c r="D160" s="1" t="str">
        <f ca="1">'Leg 5'!K4</f>
        <v>(9) DELOS SANTOS JAYMI</v>
      </c>
      <c r="E160" s="1" t="str">
        <f ca="1">'Leg 5'!L4</f>
        <v>14 - 13</v>
      </c>
    </row>
    <row r="161" spans="1:5" ht="13">
      <c r="A161" s="1">
        <v>5</v>
      </c>
      <c r="B161" s="1" t="str">
        <f ca="1">'Leg 5'!I5</f>
        <v>(25) UY JANA ANNIKA
CF / PHI</v>
      </c>
      <c r="C161" s="1" t="str">
        <f ca="1">'Leg 5'!J5</f>
        <v>(8) MARTINEZ TASHA ISABELLA
HCFC / PHI</v>
      </c>
      <c r="D161" s="1" t="str">
        <f ca="1">'Leg 5'!K5</f>
        <v>(8) UY JANA ANNIKA</v>
      </c>
      <c r="E161" s="1" t="str">
        <f ca="1">'Leg 5'!L5</f>
        <v>15 - 11</v>
      </c>
    </row>
    <row r="162" spans="1:5" ht="13">
      <c r="A162" s="1">
        <v>5</v>
      </c>
      <c r="B162" s="1" t="str">
        <f ca="1">'Leg 5'!I6</f>
        <v>(5) HARRISON ASHLEY MAE MICHELLE
NTP / PHI</v>
      </c>
      <c r="C162" s="1" t="str">
        <f ca="1">'Leg 5'!J6</f>
        <v>(28) - BYE -</v>
      </c>
      <c r="D162" s="1" t="str">
        <f ca="1">'Leg 5'!K6</f>
        <v>(5) HARRISON ASHLEY MAE MICHELLE</v>
      </c>
      <c r="E162" s="1">
        <f ca="1">'Leg 5'!L6</f>
        <v>0</v>
      </c>
    </row>
    <row r="163" spans="1:5" ht="13">
      <c r="A163" s="1">
        <v>5</v>
      </c>
      <c r="B163" s="1" t="str">
        <f ca="1">'Leg 5'!I7</f>
        <v>(21) ASIS JUZ LOVAINE
PMPA / PHI</v>
      </c>
      <c r="C163" s="1" t="str">
        <f ca="1">'Leg 5'!J7</f>
        <v>(12) MATIAS ANDREA JENNELLE
UE / PHI</v>
      </c>
      <c r="D163" s="1" t="str">
        <f ca="1">'Leg 5'!K7</f>
        <v>(12) MATIAS ANDREA JENNELLE</v>
      </c>
      <c r="E163" s="1" t="str">
        <f ca="1">'Leg 5'!L7</f>
        <v>15 - 11</v>
      </c>
    </row>
    <row r="164" spans="1:5" ht="13">
      <c r="A164" s="1">
        <v>5</v>
      </c>
      <c r="B164" s="1" t="str">
        <f ca="1">'Leg 5'!I8</f>
        <v>(13) EDNILAG KRUPSKAYA
DLSU / PHI</v>
      </c>
      <c r="C164" s="1" t="str">
        <f ca="1">'Leg 5'!J8</f>
        <v>(20) RAFAEL RANA IMOGEN
ADMU/RF / PHI</v>
      </c>
      <c r="D164" s="1" t="str">
        <f ca="1">'Leg 5'!K8</f>
        <v>(13) EDNILAG KRUPSKAYA</v>
      </c>
      <c r="E164" s="1" t="str">
        <f ca="1">'Leg 5'!L8</f>
        <v>15 - 10</v>
      </c>
    </row>
    <row r="165" spans="1:5" ht="13">
      <c r="A165" s="1">
        <v>5</v>
      </c>
      <c r="B165" s="1" t="str">
        <f ca="1">'Leg 5'!I9</f>
        <v>(29) - BYE -</v>
      </c>
      <c r="C165" s="1" t="str">
        <f ca="1">'Leg 5'!J9</f>
        <v>(4) GOMEZ JULIANA MA. BEATRICE
PMPA / PHI</v>
      </c>
      <c r="D165" s="1" t="str">
        <f ca="1">'Leg 5'!K9</f>
        <v>(4) GOMEZ JULIANA MA. BEATRICE</v>
      </c>
      <c r="E165" s="1">
        <f ca="1">'Leg 5'!L9</f>
        <v>0</v>
      </c>
    </row>
    <row r="166" spans="1:5" ht="13">
      <c r="A166" s="1">
        <v>5</v>
      </c>
      <c r="B166" s="1" t="str">
        <f ca="1">'Leg 5'!I10</f>
        <v>(3) LARRAZABAL ALEXA
NTP / PHI</v>
      </c>
      <c r="C166" s="1" t="str">
        <f ca="1">'Leg 5'!J10</f>
        <v>(30) - BYE -</v>
      </c>
      <c r="D166" s="1" t="str">
        <f ca="1">'Leg 5'!K10</f>
        <v>(3) LARRAZABAL ALEXA</v>
      </c>
      <c r="E166" s="1">
        <f ca="1">'Leg 5'!L10</f>
        <v>0</v>
      </c>
    </row>
    <row r="167" spans="1:5" ht="13">
      <c r="A167" s="1">
        <v>5</v>
      </c>
      <c r="B167" s="1" t="str">
        <f ca="1">'Leg 5'!I11</f>
        <v>(19) BACCAY MARTINA JENE
DLSZ / PHI</v>
      </c>
      <c r="C167" s="1" t="str">
        <f ca="1">'Leg 5'!J11</f>
        <v>(14) MENDOZA JENNINA
UP / PHI</v>
      </c>
      <c r="D167" s="1" t="str">
        <f ca="1">'Leg 5'!K11</f>
        <v>(14) MENDOZA JENNINA</v>
      </c>
      <c r="E167" s="1" t="str">
        <f ca="1">'Leg 5'!L11</f>
        <v>15 - 2</v>
      </c>
    </row>
    <row r="168" spans="1:5" ht="13">
      <c r="A168" s="1">
        <v>5</v>
      </c>
      <c r="B168" s="1" t="str">
        <f ca="1">'Leg 5'!I12</f>
        <v>(11) TRINIDAD SOLANA MAYUMI
EZKRIMA / PHI</v>
      </c>
      <c r="C168" s="1" t="str">
        <f ca="1">'Leg 5'!J12</f>
        <v>(22) CAPINA MIYAKE
DLSZ / PHI</v>
      </c>
      <c r="D168" s="1" t="str">
        <f ca="1">'Leg 5'!K12</f>
        <v>(11) TRINIDAD SOLANA MAYUMI</v>
      </c>
      <c r="E168" s="1" t="str">
        <f ca="1">'Leg 5'!L12</f>
        <v>15 - 8</v>
      </c>
    </row>
    <row r="169" spans="1:5" ht="13">
      <c r="A169" s="1">
        <v>5</v>
      </c>
      <c r="B169" s="1" t="str">
        <f ca="1">'Leg 5'!I13</f>
        <v>(27) - BYE -</v>
      </c>
      <c r="C169" s="1" t="str">
        <f ca="1">'Leg 5'!J13</f>
        <v>(6) SANDOVAL JUSTA ANDREA
CF / PHI</v>
      </c>
      <c r="D169" s="1" t="str">
        <f ca="1">'Leg 5'!K13</f>
        <v>(6) SANDOVAL JUSTA ANDREA</v>
      </c>
      <c r="E169" s="1">
        <f ca="1">'Leg 5'!L13</f>
        <v>0</v>
      </c>
    </row>
    <row r="170" spans="1:5" ht="13">
      <c r="A170" s="1">
        <v>5</v>
      </c>
      <c r="B170" s="1" t="str">
        <f ca="1">'Leg 5'!I14</f>
        <v>(7) BUSTOS MICKYLE REIN
RF / PHI</v>
      </c>
      <c r="C170" s="1" t="str">
        <f ca="1">'Leg 5'!J14</f>
        <v>(26) - BYE -</v>
      </c>
      <c r="D170" s="1" t="str">
        <f ca="1">'Leg 5'!K14</f>
        <v>(7) BUSTOS MICKYLE REIN</v>
      </c>
      <c r="E170" s="1">
        <f ca="1">'Leg 5'!L14</f>
        <v>0</v>
      </c>
    </row>
    <row r="171" spans="1:5" ht="13">
      <c r="A171" s="1">
        <v>5</v>
      </c>
      <c r="B171" s="1" t="str">
        <f ca="1">'Leg 5'!I15</f>
        <v>(23) CARIG SOPHIA
OF / PHI</v>
      </c>
      <c r="C171" s="1" t="str">
        <f ca="1">'Leg 5'!J15</f>
        <v>(10) CANLAS NINA DOMINIQUE
UE / PHI</v>
      </c>
      <c r="D171" s="1" t="str">
        <f ca="1">'Leg 5'!K15</f>
        <v>(10) CANLAS NINA DOMINIQUE</v>
      </c>
      <c r="E171" s="1" t="str">
        <f ca="1">'Leg 5'!L15</f>
        <v>15 - 9</v>
      </c>
    </row>
    <row r="172" spans="1:5" ht="13">
      <c r="A172" s="1">
        <v>5</v>
      </c>
      <c r="B172" s="1" t="str">
        <f ca="1">'Leg 5'!I16</f>
        <v>(15) TORRE PAPINA MARGUERITE
AF / PHI</v>
      </c>
      <c r="C172" s="1" t="str">
        <f ca="1">'Leg 5'!J16</f>
        <v>(18) SYKAT ROBYN NOELLE
RF / PHI</v>
      </c>
      <c r="D172" s="1" t="str">
        <f ca="1">'Leg 5'!K16</f>
        <v>(15) TORRE PAPINA MARGUERITE</v>
      </c>
      <c r="E172" s="1" t="str">
        <f ca="1">'Leg 5'!L16</f>
        <v>11 - 10</v>
      </c>
    </row>
    <row r="173" spans="1:5" ht="13">
      <c r="A173" s="1">
        <v>5</v>
      </c>
      <c r="B173" s="1" t="str">
        <f ca="1">'Leg 5'!I17</f>
        <v>(31) - BYE -</v>
      </c>
      <c r="C173" s="1" t="str">
        <f ca="1">'Leg 5'!J17</f>
        <v>(2) DINOY IVY CLAIRE
PMPA / PHI</v>
      </c>
      <c r="D173" s="1" t="str">
        <f ca="1">'Leg 5'!K17</f>
        <v>(2) DINOY IVY CLAIRE</v>
      </c>
      <c r="E173" s="1">
        <f ca="1">'Leg 5'!L17</f>
        <v>0</v>
      </c>
    </row>
    <row r="174" spans="1:5" ht="13">
      <c r="A174" s="1">
        <v>5</v>
      </c>
      <c r="B174" s="1" t="str">
        <f ca="1">'Leg 5'!I18</f>
        <v>(1) ABELLA HANNIEL</v>
      </c>
      <c r="C174" s="1" t="str">
        <f ca="1">'Leg 5'!J18</f>
        <v>(16) FLORES MARIEL ELIANNE FRANCESCA</v>
      </c>
      <c r="D174" s="1" t="str">
        <f ca="1">'Leg 5'!K18</f>
        <v>(1) ABELLA HANNIEL</v>
      </c>
      <c r="E174" s="1" t="str">
        <f ca="1">'Leg 5'!L18</f>
        <v>15 - 9
11:15 AM</v>
      </c>
    </row>
    <row r="175" spans="1:5" ht="13">
      <c r="A175" s="1">
        <v>5</v>
      </c>
      <c r="B175" s="1" t="str">
        <f ca="1">'Leg 5'!I19</f>
        <v>(9) DELOS SANTOS JAYMI</v>
      </c>
      <c r="C175" s="1" t="str">
        <f ca="1">'Leg 5'!J19</f>
        <v>(8) UY JANA ANNIKA</v>
      </c>
      <c r="D175" s="1" t="str">
        <f ca="1">'Leg 5'!K19</f>
        <v>(8) DELOS SANTOS JAYMI</v>
      </c>
      <c r="E175" s="1" t="str">
        <f ca="1">'Leg 5'!L19</f>
        <v>15 - 13
11:23 AM</v>
      </c>
    </row>
    <row r="176" spans="1:5" ht="13">
      <c r="A176" s="1">
        <v>5</v>
      </c>
      <c r="B176" s="1" t="str">
        <f ca="1">'Leg 5'!I20</f>
        <v>(5) HARRISON ASHLEY MAE MICHELLE</v>
      </c>
      <c r="C176" s="1" t="str">
        <f ca="1">'Leg 5'!J20</f>
        <v>(12) MATIAS ANDREA JENNELLE</v>
      </c>
      <c r="D176" s="1" t="str">
        <f ca="1">'Leg 5'!K20</f>
        <v>(5) HARRISON ASHLEY MAE MICHELLE</v>
      </c>
      <c r="E176" s="1" t="str">
        <f ca="1">'Leg 5'!L20</f>
        <v>15 - 12
11:21 AM</v>
      </c>
    </row>
    <row r="177" spans="1:5" ht="13">
      <c r="A177" s="1">
        <v>5</v>
      </c>
      <c r="B177" s="1" t="str">
        <f ca="1">'Leg 5'!I21</f>
        <v>(13) EDNILAG KRUPSKAYA</v>
      </c>
      <c r="C177" s="1" t="str">
        <f ca="1">'Leg 5'!J21</f>
        <v>(4) GOMEZ JULIANA MA. BEATRICE</v>
      </c>
      <c r="D177" s="1" t="str">
        <f ca="1">'Leg 5'!K21</f>
        <v>(4) GOMEZ JULIANA MA. BEATRICE</v>
      </c>
      <c r="E177" s="1" t="str">
        <f ca="1">'Leg 5'!L21</f>
        <v>15 - 7
11:15 AM</v>
      </c>
    </row>
    <row r="178" spans="1:5" ht="13">
      <c r="A178" s="1">
        <v>5</v>
      </c>
      <c r="B178" s="1" t="str">
        <f ca="1">'Leg 5'!I22</f>
        <v>(3) LARRAZABAL ALEXA</v>
      </c>
      <c r="C178" s="1" t="str">
        <f ca="1">'Leg 5'!J22</f>
        <v>(14) MENDOZA JENNINA</v>
      </c>
      <c r="D178" s="1" t="str">
        <f ca="1">'Leg 5'!K22</f>
        <v>(3) LARRAZABAL ALEXA</v>
      </c>
      <c r="E178" s="1" t="str">
        <f ca="1">'Leg 5'!L22</f>
        <v>15 - 7
11:21 AM</v>
      </c>
    </row>
    <row r="179" spans="1:5" ht="13">
      <c r="A179" s="1">
        <v>5</v>
      </c>
      <c r="B179" s="1" t="str">
        <f ca="1">'Leg 5'!I23</f>
        <v>(11) TRINIDAD SOLANA MAYUMI</v>
      </c>
      <c r="C179" s="1" t="str">
        <f ca="1">'Leg 5'!J23</f>
        <v>(6) SANDOVAL JUSTA ANDREA</v>
      </c>
      <c r="D179" s="1" t="str">
        <f ca="1">'Leg 5'!K23</f>
        <v>(6) TRINIDAD SOLANA MAYUMI</v>
      </c>
      <c r="E179" s="1" t="str">
        <f ca="1">'Leg 5'!L23</f>
        <v>13 - 7
11:18 AM</v>
      </c>
    </row>
    <row r="180" spans="1:5" ht="13">
      <c r="A180" s="1">
        <v>5</v>
      </c>
      <c r="B180" s="1" t="str">
        <f ca="1">'Leg 5'!I24</f>
        <v>(7) BUSTOS MICKYLE REIN</v>
      </c>
      <c r="C180" s="1" t="str">
        <f ca="1">'Leg 5'!J24</f>
        <v>(10) CANLAS NINA DOMINIQUE</v>
      </c>
      <c r="D180" s="1" t="str">
        <f ca="1">'Leg 5'!K24</f>
        <v>(7) BUSTOS MICKYLE REIN</v>
      </c>
      <c r="E180" s="1" t="str">
        <f ca="1">'Leg 5'!L24</f>
        <v>15 - 11
11:17 AM</v>
      </c>
    </row>
    <row r="181" spans="1:5" ht="13">
      <c r="A181" s="1">
        <v>5</v>
      </c>
      <c r="B181" s="1" t="str">
        <f ca="1">'Leg 5'!I25</f>
        <v>(15) TORRE PAPINA MARGUERITE</v>
      </c>
      <c r="C181" s="1" t="str">
        <f ca="1">'Leg 5'!J25</f>
        <v>(2) DINOY IVY CLAIRE</v>
      </c>
      <c r="D181" s="1" t="str">
        <f ca="1">'Leg 5'!K25</f>
        <v>(2) DINOY IVY CLAIRE</v>
      </c>
      <c r="E181" s="1" t="str">
        <f ca="1">'Leg 5'!L25</f>
        <v>15 - 4
11:38 AM</v>
      </c>
    </row>
    <row r="182" spans="1:5" ht="13">
      <c r="A182" s="1">
        <v>5</v>
      </c>
      <c r="B182" s="1" t="str">
        <f ca="1">'Leg 5'!I26</f>
        <v>(1) ABELLA HANNIEL</v>
      </c>
      <c r="C182" s="1" t="str">
        <f ca="1">'Leg 5'!J26</f>
        <v>(8) DELOS SANTOS JAYMI</v>
      </c>
      <c r="D182" s="1" t="str">
        <f ca="1">'Leg 5'!K26</f>
        <v>(1) ABELLA HANNIEL</v>
      </c>
      <c r="E182" s="1" t="str">
        <f ca="1">'Leg 5'!L26</f>
        <v>15 - 11
12:02 PM</v>
      </c>
    </row>
    <row r="183" spans="1:5" ht="13">
      <c r="A183" s="1">
        <v>5</v>
      </c>
      <c r="B183" s="1" t="str">
        <f ca="1">'Leg 5'!I27</f>
        <v>(5) HARRISON ASHLEY MAE MICHELLE</v>
      </c>
      <c r="C183" s="1" t="str">
        <f ca="1">'Leg 5'!J27</f>
        <v>(4) GOMEZ JULIANA MA. BEATRICE</v>
      </c>
      <c r="D183" s="1" t="str">
        <f ca="1">'Leg 5'!K27</f>
        <v>(4) GOMEZ JULIANA MA. BEATRICE</v>
      </c>
      <c r="E183" s="1" t="str">
        <f ca="1">'Leg 5'!L27</f>
        <v>12 - 11
12:03 PM</v>
      </c>
    </row>
    <row r="184" spans="1:5" ht="13">
      <c r="A184" s="1">
        <v>5</v>
      </c>
      <c r="B184" s="1" t="str">
        <f ca="1">'Leg 5'!I28</f>
        <v>(3) LARRAZABAL ALEXA</v>
      </c>
      <c r="C184" s="1" t="str">
        <f ca="1">'Leg 5'!J28</f>
        <v>(6) TRINIDAD SOLANA MAYUMI</v>
      </c>
      <c r="D184" s="1" t="str">
        <f ca="1">'Leg 5'!K28</f>
        <v>(3) LARRAZABAL ALEXA</v>
      </c>
      <c r="E184" s="1" t="str">
        <f ca="1">'Leg 5'!L28</f>
        <v>15 - 8
12:03 PM</v>
      </c>
    </row>
    <row r="185" spans="1:5" ht="13">
      <c r="A185" s="1">
        <v>5</v>
      </c>
      <c r="B185" s="1" t="str">
        <f ca="1">'Leg 5'!I29</f>
        <v>(7) BUSTOS MICKYLE REIN</v>
      </c>
      <c r="C185" s="1" t="str">
        <f ca="1">'Leg 5'!J29</f>
        <v>(2) DINOY IVY CLAIRE</v>
      </c>
      <c r="D185" s="1" t="str">
        <f ca="1">'Leg 5'!K29</f>
        <v>(2) DINOY IVY CLAIRE</v>
      </c>
      <c r="E185" s="1" t="str">
        <f ca="1">'Leg 5'!L29</f>
        <v>15 - 9
12:00 PM</v>
      </c>
    </row>
    <row r="186" spans="1:5" ht="13">
      <c r="A186" s="1">
        <v>5</v>
      </c>
      <c r="B186" s="1" t="str">
        <f ca="1">'Leg 5'!I30</f>
        <v>(1) ABELLA HANNIEL</v>
      </c>
      <c r="C186" s="1" t="str">
        <f ca="1">'Leg 5'!J30</f>
        <v>(4) GOMEZ JULIANA MA. BEATRICE</v>
      </c>
      <c r="D186" s="1" t="str">
        <f ca="1">'Leg 5'!K30</f>
        <v>(1) ABELLA HANNIEL</v>
      </c>
      <c r="E186" s="1" t="str">
        <f ca="1">'Leg 5'!L30</f>
        <v>15 - 11
12:38 PM</v>
      </c>
    </row>
    <row r="187" spans="1:5" ht="13">
      <c r="A187" s="1">
        <v>5</v>
      </c>
      <c r="B187" s="1" t="str">
        <f ca="1">'Leg 5'!I31</f>
        <v>(3) LARRAZABAL ALEXA</v>
      </c>
      <c r="C187" s="1" t="str">
        <f ca="1">'Leg 5'!J31</f>
        <v>(2) DINOY IVY CLAIRE</v>
      </c>
      <c r="D187" s="1" t="str">
        <f ca="1">'Leg 5'!K31</f>
        <v>(2) LARRAZABAL ALEXA</v>
      </c>
      <c r="E187" s="1" t="str">
        <f ca="1">'Leg 5'!L31</f>
        <v>15 - 12
12:39 PM</v>
      </c>
    </row>
    <row r="188" spans="1:5" ht="13">
      <c r="A188" s="1">
        <v>5</v>
      </c>
      <c r="B188" s="1" t="str">
        <f ca="1">'Leg 5'!I32</f>
        <v>(1) ABELLA HANNIEL</v>
      </c>
      <c r="C188" s="1" t="str">
        <f ca="1">'Leg 5'!J32</f>
        <v>(2) LARRAZABAL ALEXA</v>
      </c>
      <c r="D188" s="1" t="str">
        <f ca="1">'Leg 5'!K32</f>
        <v>(1) LARRAZABAL ALEXA</v>
      </c>
      <c r="E188" s="1" t="str">
        <f ca="1">'Leg 5'!L32</f>
        <v>15 - 14
1:22 PM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 1</vt:lpstr>
      <vt:lpstr>Leg 2</vt:lpstr>
      <vt:lpstr>Leg 3</vt:lpstr>
      <vt:lpstr>Leg 4</vt:lpstr>
      <vt:lpstr>Leg 5</vt:lpstr>
      <vt:lpstr>all_legs_de_bouts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Karlo Canlas</cp:lastModifiedBy>
  <dcterms:modified xsi:type="dcterms:W3CDTF">2025-12-22T19:04:29Z</dcterms:modified>
</cp:coreProperties>
</file>